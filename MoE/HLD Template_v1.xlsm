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eleworX\Downloads\Downloads\TeleworX\TL Playbook\Widgets\"/>
    </mc:Choice>
  </mc:AlternateContent>
  <bookViews>
    <workbookView xWindow="0" yWindow="0" windowWidth="20490" windowHeight="7755"/>
  </bookViews>
  <sheets>
    <sheet name="Cover" sheetId="8" r:id="rId1"/>
    <sheet name="Instructions" sheetId="3" r:id="rId2"/>
    <sheet name="Revision Control" sheetId="4" state="hidden" r:id="rId3"/>
    <sheet name="Dashboard" sheetId="12" r:id="rId4"/>
    <sheet name="Polygons" sheetId="15" r:id="rId5"/>
    <sheet name="Existing Assets" sheetId="14" r:id="rId6"/>
    <sheet name="HLD" sheetId="13" r:id="rId7"/>
    <sheet name="HLD Dictionary" sheetId="16" r:id="rId8"/>
    <sheet name="Site Configurations" sheetId="10" r:id="rId9"/>
  </sheets>
  <functionGroups builtInGroupCount="18"/>
  <definedNames>
    <definedName name="Downlink_Rate">Dashboard!$C$47</definedName>
    <definedName name="Overbooking_Factor">Dashboard!$C$43</definedName>
    <definedName name="Overprovisioning_Factor">Dashboard!$C$45</definedName>
    <definedName name="Service_Penetration">Dashboard!$C$41</definedName>
    <definedName name="Uplink_Rate">Dashboard!$C$49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7" i="10" l="1"/>
  <c r="G116" i="10"/>
  <c r="G115" i="10"/>
  <c r="G114" i="10"/>
  <c r="G113" i="10"/>
  <c r="G100" i="10"/>
  <c r="G99" i="10"/>
  <c r="G98" i="10"/>
  <c r="G97" i="10"/>
  <c r="G96" i="10"/>
  <c r="G83" i="10"/>
  <c r="G82" i="10"/>
  <c r="G81" i="10"/>
  <c r="G80" i="10"/>
  <c r="G79" i="10"/>
  <c r="G66" i="10"/>
  <c r="G65" i="10"/>
  <c r="G64" i="10"/>
  <c r="G63" i="10"/>
  <c r="G62" i="10"/>
  <c r="G46" i="10"/>
  <c r="G45" i="10"/>
  <c r="G44" i="10"/>
  <c r="G43" i="10"/>
  <c r="G42" i="10"/>
  <c r="G31" i="10"/>
  <c r="G30" i="10"/>
  <c r="G29" i="10"/>
  <c r="G28" i="10"/>
  <c r="G27" i="10"/>
  <c r="G16" i="10"/>
  <c r="G15" i="10"/>
  <c r="G14" i="10"/>
  <c r="G13" i="10"/>
  <c r="G12" i="10"/>
  <c r="G47" i="10" l="1"/>
  <c r="G67" i="10"/>
  <c r="G118" i="10"/>
  <c r="G17" i="10"/>
  <c r="G32" i="10"/>
  <c r="G84" i="10"/>
  <c r="G101" i="10"/>
</calcChain>
</file>

<file path=xl/sharedStrings.xml><?xml version="1.0" encoding="utf-8"?>
<sst xmlns="http://schemas.openxmlformats.org/spreadsheetml/2006/main" count="333" uniqueCount="188">
  <si>
    <t>Site Name</t>
  </si>
  <si>
    <t>Latitude</t>
  </si>
  <si>
    <t>Longitude</t>
  </si>
  <si>
    <t>Site information</t>
  </si>
  <si>
    <t>MW Solution Info (MW)</t>
  </si>
  <si>
    <t>Fiber Solution Info (FO)</t>
  </si>
  <si>
    <t>HLD Template</t>
  </si>
  <si>
    <t>Revision Control</t>
  </si>
  <si>
    <t>Version N°</t>
  </si>
  <si>
    <t>Issue Date</t>
  </si>
  <si>
    <t>Status</t>
  </si>
  <si>
    <t>Reasons for Change</t>
  </si>
  <si>
    <t>Transport Network HLD Template</t>
  </si>
  <si>
    <t>Site ID</t>
  </si>
  <si>
    <t>Core Site</t>
  </si>
  <si>
    <t>Site Type</t>
  </si>
  <si>
    <t>Tower Height</t>
  </si>
  <si>
    <t>Tower Mods Required</t>
  </si>
  <si>
    <t>Site Leasing</t>
  </si>
  <si>
    <t>Power Supply</t>
  </si>
  <si>
    <t>Total Power Load</t>
  </si>
  <si>
    <t>RAN Configurations</t>
  </si>
  <si>
    <t>Cell Bandwidth</t>
  </si>
  <si>
    <t>Operating Frequency</t>
  </si>
  <si>
    <t>Fiber</t>
  </si>
  <si>
    <t>RAN Config 1</t>
  </si>
  <si>
    <t>MHz</t>
  </si>
  <si>
    <t>Number of Sectors</t>
  </si>
  <si>
    <t>Transmit Power</t>
  </si>
  <si>
    <t>Watts</t>
  </si>
  <si>
    <t>Item</t>
  </si>
  <si>
    <t>Model</t>
  </si>
  <si>
    <t>Vendor</t>
  </si>
  <si>
    <t>Qty</t>
  </si>
  <si>
    <t>Cost per Unit</t>
  </si>
  <si>
    <t>Total Cost</t>
  </si>
  <si>
    <t>Base Station – Integrated</t>
  </si>
  <si>
    <t>Base Station – BBU</t>
  </si>
  <si>
    <t>Base Station – RRU</t>
  </si>
  <si>
    <t>Base Station Antenna</t>
  </si>
  <si>
    <t>GPS Antenna</t>
  </si>
  <si>
    <t>TOTAL</t>
  </si>
  <si>
    <t>RAN Config 2</t>
  </si>
  <si>
    <t>RAN Config 3</t>
  </si>
  <si>
    <t>Backhaul Configurations</t>
  </si>
  <si>
    <t>Backhaul Config 1</t>
  </si>
  <si>
    <t>Transport Solution</t>
  </si>
  <si>
    <t>P2P MW Licensed</t>
  </si>
  <si>
    <t>Frequency</t>
  </si>
  <si>
    <t>11 GHz</t>
  </si>
  <si>
    <t>Channel Bandwidth</t>
  </si>
  <si>
    <t>Antenna Size</t>
  </si>
  <si>
    <t>m</t>
  </si>
  <si>
    <t>Max Throughput</t>
  </si>
  <si>
    <t>Mbit/s</t>
  </si>
  <si>
    <t>Redundancy</t>
  </si>
  <si>
    <t>1+0</t>
  </si>
  <si>
    <t>MW Radio Full Outdoor</t>
  </si>
  <si>
    <t>MW Radio IDU</t>
  </si>
  <si>
    <t>MW Radio ODU</t>
  </si>
  <si>
    <t>MW Antenna</t>
  </si>
  <si>
    <t>Backhaul Config 2</t>
  </si>
  <si>
    <t>P2P MW Unlicensed</t>
  </si>
  <si>
    <t>5.8 GHz</t>
  </si>
  <si>
    <t>Backhaul Config 3</t>
  </si>
  <si>
    <t>N/A</t>
  </si>
  <si>
    <t>Cell Site Router</t>
  </si>
  <si>
    <t>Optical Transceiver</t>
  </si>
  <si>
    <t>Backhaul Config 4</t>
  </si>
  <si>
    <t>VSAT</t>
  </si>
  <si>
    <t>Ka band</t>
  </si>
  <si>
    <t>VSAT Modem</t>
  </si>
  <si>
    <t>VSAT Antenna</t>
  </si>
  <si>
    <t>Existing Assets</t>
  </si>
  <si>
    <t>RAN Sites</t>
  </si>
  <si>
    <t>Asset information</t>
  </si>
  <si>
    <t>Asset ID</t>
  </si>
  <si>
    <t>Asset Name</t>
  </si>
  <si>
    <t>Calculate Capacity</t>
  </si>
  <si>
    <t>Dashboard</t>
  </si>
  <si>
    <t>Polygons</t>
  </si>
  <si>
    <t>Area</t>
  </si>
  <si>
    <t>Population</t>
  </si>
  <si>
    <t>Housing Units</t>
  </si>
  <si>
    <t>EBS BW</t>
  </si>
  <si>
    <t>EBS CH1 Availability</t>
  </si>
  <si>
    <t>EBS CH2 Availability</t>
  </si>
  <si>
    <t>EBS CH3 Availability</t>
  </si>
  <si>
    <t>Polygon information</t>
  </si>
  <si>
    <t>Backhaul Solution (Tx)</t>
  </si>
  <si>
    <t>Options to interact with Existing Assets data:</t>
  </si>
  <si>
    <t>Options to interact with RAN Sites data:</t>
  </si>
  <si>
    <t>Options to calculate network capacity:</t>
  </si>
  <si>
    <t>Options to interact with Polygons data from Geodemographic Tool:</t>
  </si>
  <si>
    <t>Calculate Coverage</t>
  </si>
  <si>
    <t>Options to calculate network coverage:</t>
  </si>
  <si>
    <t>Advance  Inputs</t>
  </si>
  <si>
    <t>Overbooking Factor</t>
  </si>
  <si>
    <t>Overprovisioning Factor</t>
  </si>
  <si>
    <t>Service Penetration (%)</t>
  </si>
  <si>
    <t>Downlink Rate (Mbps)</t>
  </si>
  <si>
    <t>Uplink Rate (Mbps)</t>
  </si>
  <si>
    <t>Export to Financial Model</t>
  </si>
  <si>
    <t>Options to generate the Financial Model Input.</t>
  </si>
  <si>
    <t>Parameter</t>
  </si>
  <si>
    <t>Description</t>
  </si>
  <si>
    <t>Units</t>
  </si>
  <si>
    <t>Value Range</t>
  </si>
  <si>
    <t>Flag that indicates if the site corresponds to a centralized EPC site, or the fiber PoP</t>
  </si>
  <si>
    <t>[Yes, No]</t>
  </si>
  <si>
    <t>Type of structure that serves to mount network equipment</t>
  </si>
  <si>
    <t>[Rooftop, Existing Tower, New Tower]</t>
  </si>
  <si>
    <t>Height from ground to the top of the tower or pole</t>
  </si>
  <si>
    <t>3 to 60</t>
  </si>
  <si>
    <t>RAN Antenna AGL</t>
  </si>
  <si>
    <t>Height from ground at which the RAN antennas are installed</t>
  </si>
  <si>
    <t>MW Antenna AGL</t>
  </si>
  <si>
    <t>Height from ground at which the Microwave antennas are installed</t>
  </si>
  <si>
    <t>Indication of wheter the site requires reinforcement or structure modifications. Divided in two categories: Minor and Major modifications</t>
  </si>
  <si>
    <t>[No, Minor, Major]</t>
  </si>
  <si>
    <t>Flag to indicate if the site is being leased from a third party</t>
  </si>
  <si>
    <t>RAN Configuration</t>
  </si>
  <si>
    <t>RAN Configuration, based on configurations established in "Site Configurations" sheet. Names of configurations must also match with names in the "Dashboard" sheet and CAPEX and OPEX sheets</t>
  </si>
  <si>
    <t xml:space="preserve">[RAN Configuration Names in "Site Configurations" sheet </t>
  </si>
  <si>
    <t>Frequency Band</t>
  </si>
  <si>
    <t>Frequency band for radio access at the site</t>
  </si>
  <si>
    <t>GHz</t>
  </si>
  <si>
    <t>[2.5, 3.5, 5.8]</t>
  </si>
  <si>
    <t>Covered Homes</t>
  </si>
  <si>
    <t>Estimated number of homes covered by the site</t>
  </si>
  <si>
    <t>#</t>
  </si>
  <si>
    <t>&gt;= 0</t>
  </si>
  <si>
    <t>Priority Targets Covered</t>
  </si>
  <si>
    <t>Estimated number of priority targets covered by the site</t>
  </si>
  <si>
    <t>Outdoor Subscriber Ratio</t>
  </si>
  <si>
    <t>Percentage of subscribers for which an outdoor CPE installation will be required</t>
  </si>
  <si>
    <t>%</t>
  </si>
  <si>
    <t>0 to 100%</t>
  </si>
  <si>
    <t>Backhaul Type</t>
  </si>
  <si>
    <t>Type of backhual solution, based on the transmission medium utilized</t>
  </si>
  <si>
    <t>[MW, Fiber, VSAT]</t>
  </si>
  <si>
    <t>Backhaul Configuration</t>
  </si>
  <si>
    <t>Backhaul equipment configuration based on configurations established in "Site Configurations" sheet. Names of configurations must also match with names in the CAPEX and OPEX sheets</t>
  </si>
  <si>
    <t>Backhaul Config X</t>
  </si>
  <si>
    <t># of Backhaul Links</t>
  </si>
  <si>
    <t>Number of backhaul links required for upstream connectivity of the site</t>
  </si>
  <si>
    <t>&gt;= 1</t>
  </si>
  <si>
    <t>Fiber Length</t>
  </si>
  <si>
    <t>Length of the fiber path required to connect a site with Backhaul Type = "Fiber"</t>
  </si>
  <si>
    <t>km</t>
  </si>
  <si>
    <t>&gt;=0</t>
  </si>
  <si>
    <t>Fiber Installation Type</t>
  </si>
  <si>
    <t>Type of fiber deployment</t>
  </si>
  <si>
    <t>[Buried, Aerial]</t>
  </si>
  <si>
    <t>Site Bandwidth Demand</t>
  </si>
  <si>
    <t>Bandwidth demand based on the subscribers served by the site</t>
  </si>
  <si>
    <t>Aggregated Bandwidth Demand</t>
  </si>
  <si>
    <t>Bandwidth demand from the site plus the traffic aggregated from other downstream sites</t>
  </si>
  <si>
    <t>Type of power supply</t>
  </si>
  <si>
    <t>[PoE Switch, PoE Injector, PSU]</t>
  </si>
  <si>
    <t>Sum of the power load considering all the equipment to be installed at the site</t>
  </si>
  <si>
    <t>W</t>
  </si>
  <si>
    <t>&gt; 0</t>
  </si>
  <si>
    <t>Template Instructions</t>
  </si>
  <si>
    <t>This template allows users to generate a High-level Design for the transport network elements. The elements of the template are:</t>
  </si>
  <si>
    <t>To use this template, follow the steps below:</t>
  </si>
  <si>
    <r>
      <rPr>
        <b/>
        <sz val="10"/>
        <color theme="3"/>
        <rFont val="Segoe UI"/>
        <family val="2"/>
      </rPr>
      <t xml:space="preserve">- Dashboard </t>
    </r>
    <r>
      <rPr>
        <sz val="10"/>
        <color theme="3"/>
        <rFont val="Segoe UI"/>
        <family val="2"/>
      </rPr>
      <t xml:space="preserve">sheet contains the template functionalities to facilitate the interaction with other Playbook tools. </t>
    </r>
  </si>
  <si>
    <r>
      <rPr>
        <b/>
        <sz val="10"/>
        <color theme="3"/>
        <rFont val="Segoe UI"/>
        <family val="2"/>
      </rPr>
      <t>- Polygons</t>
    </r>
    <r>
      <rPr>
        <sz val="10"/>
        <color theme="3"/>
        <rFont val="Segoe UI"/>
        <family val="2"/>
      </rPr>
      <t xml:space="preserve"> sheet includes information of target polygons included in the network design. </t>
    </r>
  </si>
  <si>
    <r>
      <rPr>
        <b/>
        <sz val="10"/>
        <color theme="3"/>
        <rFont val="Segoe UI"/>
        <family val="2"/>
      </rPr>
      <t xml:space="preserve">- Existing Assets </t>
    </r>
    <r>
      <rPr>
        <sz val="10"/>
        <color theme="3"/>
        <rFont val="Segoe UI"/>
        <family val="2"/>
      </rPr>
      <t xml:space="preserve">sheet includes information of TL assets that can be considered in the network design. </t>
    </r>
  </si>
  <si>
    <r>
      <rPr>
        <b/>
        <sz val="10"/>
        <color theme="3"/>
        <rFont val="Segoe UI"/>
        <family val="2"/>
      </rPr>
      <t xml:space="preserve">- HLD Template </t>
    </r>
    <r>
      <rPr>
        <sz val="10"/>
        <color theme="3"/>
        <rFont val="Segoe UI"/>
        <family val="2"/>
      </rPr>
      <t xml:space="preserve">sheet contains the network design information. </t>
    </r>
  </si>
  <si>
    <r>
      <rPr>
        <b/>
        <sz val="10"/>
        <color theme="3"/>
        <rFont val="Segoe UI"/>
        <family val="2"/>
      </rPr>
      <t xml:space="preserve">- Site Configurations </t>
    </r>
    <r>
      <rPr>
        <sz val="10"/>
        <color theme="3"/>
        <rFont val="Segoe UI"/>
        <family val="2"/>
      </rPr>
      <t xml:space="preserve">sheet contains the specifications for the network equipment. </t>
    </r>
  </si>
  <si>
    <r>
      <rPr>
        <i/>
        <u/>
        <sz val="10"/>
        <color theme="3"/>
        <rFont val="Segoe UI"/>
        <family val="2"/>
      </rPr>
      <t>Step 1</t>
    </r>
    <r>
      <rPr>
        <i/>
        <sz val="10"/>
        <color theme="3"/>
        <rFont val="Segoe UI"/>
        <family val="2"/>
      </rPr>
      <t>:</t>
    </r>
    <r>
      <rPr>
        <sz val="10"/>
        <color theme="3"/>
        <rFont val="Segoe UI"/>
        <family val="2"/>
      </rPr>
      <t xml:space="preserve"> Introduce the polygon target data into the </t>
    </r>
    <r>
      <rPr>
        <b/>
        <sz val="10"/>
        <color theme="3"/>
        <rFont val="Segoe UI"/>
        <family val="2"/>
      </rPr>
      <t>Polygons</t>
    </r>
    <r>
      <rPr>
        <sz val="10"/>
        <color theme="3"/>
        <rFont val="Segoe UI"/>
        <family val="2"/>
      </rPr>
      <t xml:space="preserve"> sheet. Alternatively, you can use the </t>
    </r>
    <r>
      <rPr>
        <b/>
        <sz val="10"/>
        <color theme="3"/>
        <rFont val="Segoe UI"/>
        <family val="2"/>
      </rPr>
      <t>Dashboard</t>
    </r>
    <r>
      <rPr>
        <sz val="10"/>
        <color theme="3"/>
        <rFont val="Segoe UI"/>
        <family val="2"/>
      </rPr>
      <t xml:space="preserve"> functionalities to import an existing file.</t>
    </r>
  </si>
  <si>
    <r>
      <rPr>
        <i/>
        <u/>
        <sz val="10"/>
        <color theme="3"/>
        <rFont val="Segoe UI"/>
        <family val="2"/>
      </rPr>
      <t>Step 2</t>
    </r>
    <r>
      <rPr>
        <i/>
        <sz val="10"/>
        <color theme="3"/>
        <rFont val="Segoe UI"/>
        <family val="2"/>
      </rPr>
      <t>:</t>
    </r>
    <r>
      <rPr>
        <sz val="10"/>
        <color theme="3"/>
        <rFont val="Segoe UI"/>
        <family val="2"/>
      </rPr>
      <t xml:space="preserve"> Introduce the TL assets data that can be considered for the network desing into the</t>
    </r>
    <r>
      <rPr>
        <i/>
        <sz val="10"/>
        <color theme="3"/>
        <rFont val="Segoe UI"/>
        <family val="2"/>
      </rPr>
      <t xml:space="preserve"> </t>
    </r>
    <r>
      <rPr>
        <b/>
        <sz val="10"/>
        <color theme="3"/>
        <rFont val="Segoe UI"/>
        <family val="2"/>
      </rPr>
      <t>Existing Assets</t>
    </r>
    <r>
      <rPr>
        <sz val="10"/>
        <color theme="3"/>
        <rFont val="Segoe UI"/>
        <family val="2"/>
      </rPr>
      <t xml:space="preserve"> sheet. Alternatively, you can use the </t>
    </r>
    <r>
      <rPr>
        <b/>
        <sz val="10"/>
        <color theme="3"/>
        <rFont val="Segoe UI"/>
        <family val="2"/>
      </rPr>
      <t>Dashboard</t>
    </r>
    <r>
      <rPr>
        <sz val="10"/>
        <color theme="3"/>
        <rFont val="Segoe UI"/>
        <family val="2"/>
      </rPr>
      <t xml:space="preserve"> functionalities to import/export a file.</t>
    </r>
  </si>
  <si>
    <r>
      <rPr>
        <i/>
        <u/>
        <sz val="10"/>
        <color theme="3"/>
        <rFont val="Segoe UI"/>
        <family val="2"/>
      </rPr>
      <t>Step 4</t>
    </r>
    <r>
      <rPr>
        <i/>
        <sz val="10"/>
        <color theme="3"/>
        <rFont val="Segoe UI"/>
        <family val="2"/>
      </rPr>
      <t>:</t>
    </r>
    <r>
      <rPr>
        <sz val="10"/>
        <color theme="3"/>
        <rFont val="Segoe UI"/>
        <family val="2"/>
      </rPr>
      <t xml:space="preserve"> Start filling the HLD Template according to the directives provided in the </t>
    </r>
    <r>
      <rPr>
        <b/>
        <sz val="10"/>
        <color theme="3"/>
        <rFont val="Segoe UI"/>
        <family val="2"/>
      </rPr>
      <t xml:space="preserve">Module 3 Content. </t>
    </r>
  </si>
  <si>
    <r>
      <rPr>
        <i/>
        <u/>
        <sz val="10"/>
        <color theme="3"/>
        <rFont val="Segoe UI"/>
        <family val="2"/>
      </rPr>
      <t>Step 5</t>
    </r>
    <r>
      <rPr>
        <i/>
        <sz val="10"/>
        <color theme="3"/>
        <rFont val="Segoe UI"/>
        <family val="2"/>
      </rPr>
      <t>:</t>
    </r>
    <r>
      <rPr>
        <sz val="10"/>
        <color theme="3"/>
        <rFont val="Segoe UI"/>
        <family val="2"/>
      </rPr>
      <t xml:space="preserve"> You can calculate the coverage and capacity generated by the defined RAN sites by using the </t>
    </r>
    <r>
      <rPr>
        <b/>
        <sz val="10"/>
        <color theme="3"/>
        <rFont val="Segoe UI"/>
        <family val="2"/>
      </rPr>
      <t>Dashboard</t>
    </r>
    <r>
      <rPr>
        <sz val="10"/>
        <color theme="3"/>
        <rFont val="Segoe UI"/>
        <family val="2"/>
      </rPr>
      <t xml:space="preserve"> functionalities . </t>
    </r>
  </si>
  <si>
    <r>
      <rPr>
        <i/>
        <u/>
        <sz val="10"/>
        <color theme="3"/>
        <rFont val="Segoe UI"/>
        <family val="2"/>
      </rPr>
      <t>Step 6</t>
    </r>
    <r>
      <rPr>
        <i/>
        <sz val="10"/>
        <color theme="3"/>
        <rFont val="Segoe UI"/>
        <family val="2"/>
      </rPr>
      <t>:</t>
    </r>
    <r>
      <rPr>
        <sz val="10"/>
        <color theme="3"/>
        <rFont val="Segoe UI"/>
        <family val="2"/>
      </rPr>
      <t xml:space="preserve"> Finally, export the HLD template into the</t>
    </r>
    <r>
      <rPr>
        <b/>
        <sz val="10"/>
        <color theme="3"/>
        <rFont val="Segoe UI"/>
        <family val="2"/>
      </rPr>
      <t xml:space="preserve"> Financial Model</t>
    </r>
    <r>
      <rPr>
        <sz val="10"/>
        <color theme="3"/>
        <rFont val="Segoe UI"/>
        <family val="2"/>
      </rPr>
      <t xml:space="preserve"> by using  the </t>
    </r>
    <r>
      <rPr>
        <b/>
        <sz val="10"/>
        <color theme="3"/>
        <rFont val="Segoe UI"/>
        <family val="2"/>
      </rPr>
      <t>Dashboard</t>
    </r>
    <r>
      <rPr>
        <sz val="10"/>
        <color theme="3"/>
        <rFont val="Segoe UI"/>
        <family val="2"/>
      </rPr>
      <t xml:space="preserve"> functionalities . </t>
    </r>
  </si>
  <si>
    <r>
      <rPr>
        <i/>
        <u/>
        <sz val="10"/>
        <color theme="3"/>
        <rFont val="Segoe UI"/>
        <family val="2"/>
      </rPr>
      <t>Step 3</t>
    </r>
    <r>
      <rPr>
        <i/>
        <sz val="10"/>
        <color theme="3"/>
        <rFont val="Segoe UI"/>
        <family val="2"/>
      </rPr>
      <t>:</t>
    </r>
    <r>
      <rPr>
        <sz val="10"/>
        <color theme="3"/>
        <rFont val="Segoe UI"/>
        <family val="2"/>
      </rPr>
      <t xml:space="preserve"> Optionally, customize the network equipment configurations on the</t>
    </r>
    <r>
      <rPr>
        <b/>
        <sz val="10"/>
        <color theme="3"/>
        <rFont val="Segoe UI"/>
        <family val="2"/>
      </rPr>
      <t xml:space="preserve"> Site Configurations</t>
    </r>
    <r>
      <rPr>
        <sz val="10"/>
        <color theme="3"/>
        <rFont val="Segoe UI"/>
        <family val="2"/>
      </rPr>
      <t xml:space="preserve"> sheet using the output from </t>
    </r>
    <r>
      <rPr>
        <b/>
        <sz val="10"/>
        <color theme="3"/>
        <rFont val="Segoe UI"/>
        <family val="2"/>
      </rPr>
      <t>Module 2</t>
    </r>
    <r>
      <rPr>
        <sz val="10"/>
        <color theme="3"/>
        <rFont val="Segoe UI"/>
        <family val="2"/>
      </rPr>
      <t xml:space="preserve">. </t>
    </r>
  </si>
  <si>
    <t>Polygon ID</t>
  </si>
  <si>
    <t>December, 2020</t>
  </si>
  <si>
    <t>MW Link Distance</t>
  </si>
  <si>
    <t>RAN Covered Area Indoor</t>
  </si>
  <si>
    <t>RAN Covered Area Outdoor</t>
  </si>
  <si>
    <t>RAN Solution (RAN)</t>
  </si>
  <si>
    <t>RAN Coverage Information</t>
  </si>
  <si>
    <t>Backhaul Site</t>
  </si>
  <si>
    <t>Next-hop Site Code</t>
  </si>
  <si>
    <t>Target Polygons Covered</t>
  </si>
  <si>
    <t>Name Target Polygons Covered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</si>
</sst>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-&quot;$&quot;* #,##0_-;\-&quot;$&quot;* #,##0_-;_-&quot;$&quot;* &quot;-&quot;??_-;_-@_-"/>
  </numFmts>
  <fonts count="31" x14ac:knownFonts="1">
    <font>
      <sz val="11"/>
      <color theme="1"/>
      <name val="Calibri"/>
      <family val="2"/>
      <scheme val="minor"/>
    </font>
    <font>
      <sz val="18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0"/>
      <color theme="3"/>
      <name val="Segoe UI"/>
      <family val="2"/>
    </font>
    <font>
      <b/>
      <sz val="10"/>
      <color theme="3"/>
      <name val="Segoe UI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i/>
      <sz val="10"/>
      <color rgb="FF002060"/>
      <name val="Segoe UI"/>
      <family val="2"/>
    </font>
    <font>
      <b/>
      <i/>
      <sz val="10"/>
      <color theme="0"/>
      <name val="Segoe UI"/>
      <family val="2"/>
    </font>
    <font>
      <sz val="10"/>
      <color rgb="FF002060"/>
      <name val="Segoe UI"/>
      <family val="2"/>
    </font>
    <font>
      <sz val="10"/>
      <color theme="1" tint="0.249977111117893"/>
      <name val="Segoe UI"/>
      <family val="2"/>
    </font>
    <font>
      <i/>
      <sz val="9"/>
      <color theme="1" tint="0.34998626667073579"/>
      <name val="Segoe UI"/>
      <family val="2"/>
    </font>
    <font>
      <sz val="10"/>
      <color theme="0"/>
      <name val="Segoe UI"/>
      <family val="2"/>
    </font>
    <font>
      <b/>
      <sz val="10"/>
      <color rgb="FF002060"/>
      <name val="Segoe UI"/>
      <family val="2"/>
    </font>
    <font>
      <b/>
      <i/>
      <u/>
      <sz val="11"/>
      <color rgb="FF002060"/>
      <name val="Calibri"/>
      <family val="2"/>
      <scheme val="minor"/>
    </font>
    <font>
      <i/>
      <sz val="11"/>
      <color theme="1" tint="0.249977111117893"/>
      <name val="Calibri"/>
      <family val="2"/>
      <scheme val="minor"/>
    </font>
    <font>
      <sz val="10"/>
      <color rgb="FF333333"/>
      <name val="Calibri"/>
      <family val="2"/>
    </font>
    <font>
      <i/>
      <u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3"/>
      <name val="Segoe UI"/>
      <family val="2"/>
    </font>
    <font>
      <i/>
      <u/>
      <sz val="10"/>
      <color theme="3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002060"/>
      </bottom>
      <diagonal/>
    </border>
    <border>
      <left style="dotted">
        <color theme="4" tint="0.59999389629810485"/>
      </left>
      <right/>
      <top style="dotted">
        <color theme="4" tint="0.59999389629810485"/>
      </top>
      <bottom style="dotted">
        <color theme="4" tint="0.59999389629810485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theme="4" tint="0.59999389629810485"/>
      </left>
      <right style="dotted">
        <color theme="4" tint="0.59999389629810485"/>
      </right>
      <top style="dotted">
        <color theme="4" tint="0.59999389629810485"/>
      </top>
      <bottom style="dotted">
        <color theme="4" tint="0.59999389629810485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3" fillId="0" borderId="0"/>
    <xf numFmtId="0" fontId="7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1" fillId="0" borderId="7" xfId="0" applyFont="1" applyBorder="1" applyAlignment="1">
      <alignment vertical="center"/>
    </xf>
    <xf numFmtId="0" fontId="0" fillId="0" borderId="7" xfId="0" applyBorder="1"/>
    <xf numFmtId="0" fontId="4" fillId="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3" fillId="0" borderId="0" xfId="1"/>
    <xf numFmtId="0" fontId="2" fillId="2" borderId="0" xfId="1" applyFont="1" applyFill="1"/>
    <xf numFmtId="0" fontId="8" fillId="2" borderId="0" xfId="2" applyFont="1" applyFill="1" applyAlignment="1">
      <alignment horizontal="left" vertical="center"/>
    </xf>
    <xf numFmtId="17" fontId="9" fillId="2" borderId="0" xfId="1" quotePrefix="1" applyNumberFormat="1" applyFont="1" applyFill="1"/>
    <xf numFmtId="0" fontId="10" fillId="0" borderId="0" xfId="0" applyFont="1"/>
    <xf numFmtId="0" fontId="10" fillId="0" borderId="0" xfId="0" applyFont="1" applyAlignment="1">
      <alignment horizontal="left" wrapText="1"/>
    </xf>
    <xf numFmtId="0" fontId="10" fillId="0" borderId="0" xfId="0" quotePrefix="1" applyFont="1"/>
    <xf numFmtId="0" fontId="10" fillId="0" borderId="0" xfId="0" quotePrefix="1" applyFont="1" applyAlignment="1">
      <alignment horizontal="left" wrapText="1"/>
    </xf>
    <xf numFmtId="0" fontId="10" fillId="0" borderId="0" xfId="0" quotePrefix="1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quotePrefix="1" applyFont="1" applyAlignment="1">
      <alignment wrapText="1"/>
    </xf>
    <xf numFmtId="0" fontId="10" fillId="0" borderId="0" xfId="0" applyFont="1" applyAlignment="1">
      <alignment wrapText="1"/>
    </xf>
    <xf numFmtId="0" fontId="14" fillId="0" borderId="8" xfId="0" applyFont="1" applyBorder="1"/>
    <xf numFmtId="0" fontId="12" fillId="0" borderId="8" xfId="0" applyFont="1" applyBorder="1"/>
    <xf numFmtId="0" fontId="12" fillId="0" borderId="0" xfId="0" applyFont="1"/>
    <xf numFmtId="0" fontId="12" fillId="0" borderId="5" xfId="0" applyFont="1" applyBorder="1"/>
    <xf numFmtId="0" fontId="12" fillId="0" borderId="0" xfId="0" applyFont="1" applyBorder="1"/>
    <xf numFmtId="0" fontId="12" fillId="0" borderId="6" xfId="0" applyFont="1" applyBorder="1"/>
    <xf numFmtId="0" fontId="16" fillId="0" borderId="5" xfId="0" applyFont="1" applyBorder="1" applyAlignment="1">
      <alignment horizontal="left" vertical="center" wrapText="1"/>
    </xf>
    <xf numFmtId="0" fontId="17" fillId="6" borderId="9" xfId="4" applyNumberFormat="1" applyFont="1" applyFill="1" applyBorder="1" applyAlignment="1" applyProtection="1">
      <alignment horizontal="center"/>
      <protection locked="0"/>
    </xf>
    <xf numFmtId="0" fontId="18" fillId="0" borderId="0" xfId="0" applyFont="1" applyBorder="1"/>
    <xf numFmtId="0" fontId="19" fillId="2" borderId="10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0" fontId="16" fillId="0" borderId="10" xfId="0" applyFont="1" applyBorder="1"/>
    <xf numFmtId="0" fontId="12" fillId="0" borderId="1" xfId="0" applyFont="1" applyBorder="1" applyAlignment="1">
      <alignment horizontal="left" vertical="top"/>
    </xf>
    <xf numFmtId="0" fontId="12" fillId="0" borderId="1" xfId="0" applyFont="1" applyBorder="1" applyAlignment="1">
      <alignment horizontal="center" vertical="top"/>
    </xf>
    <xf numFmtId="164" fontId="12" fillId="0" borderId="1" xfId="3" applyNumberFormat="1" applyFont="1" applyBorder="1"/>
    <xf numFmtId="164" fontId="12" fillId="0" borderId="11" xfId="3" applyNumberFormat="1" applyFont="1" applyBorder="1"/>
    <xf numFmtId="164" fontId="12" fillId="0" borderId="15" xfId="3" applyNumberFormat="1" applyFont="1" applyBorder="1"/>
    <xf numFmtId="0" fontId="17" fillId="6" borderId="0" xfId="4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0" fontId="22" fillId="0" borderId="0" xfId="0" applyFont="1" applyAlignment="1">
      <alignment horizontal="left" indent="2"/>
    </xf>
    <xf numFmtId="0" fontId="22" fillId="0" borderId="0" xfId="0" applyFont="1" applyBorder="1" applyAlignment="1">
      <alignment horizontal="left" indent="2"/>
    </xf>
    <xf numFmtId="0" fontId="24" fillId="0" borderId="0" xfId="0" applyFont="1" applyAlignment="1"/>
    <xf numFmtId="0" fontId="25" fillId="0" borderId="0" xfId="0" applyFont="1"/>
    <xf numFmtId="0" fontId="26" fillId="0" borderId="0" xfId="0" applyFont="1" applyAlignment="1">
      <alignment wrapText="1"/>
    </xf>
    <xf numFmtId="0" fontId="24" fillId="0" borderId="0" xfId="0" applyFont="1" applyAlignment="1">
      <alignment horizontal="center"/>
    </xf>
    <xf numFmtId="9" fontId="17" fillId="6" borderId="9" xfId="4" applyNumberFormat="1" applyFont="1" applyFill="1" applyBorder="1" applyAlignment="1" applyProtection="1">
      <alignment horizontal="center"/>
      <protection locked="0"/>
    </xf>
    <xf numFmtId="9" fontId="17" fillId="6" borderId="16" xfId="4" applyNumberFormat="1" applyFont="1" applyFill="1" applyBorder="1" applyAlignment="1" applyProtection="1">
      <alignment horizontal="center"/>
      <protection locked="0"/>
    </xf>
    <xf numFmtId="0" fontId="17" fillId="6" borderId="16" xfId="4" applyNumberFormat="1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horizontal="center" wrapText="1"/>
    </xf>
    <xf numFmtId="0" fontId="14" fillId="7" borderId="8" xfId="0" applyFont="1" applyFill="1" applyBorder="1"/>
    <xf numFmtId="0" fontId="0" fillId="0" borderId="7" xfId="0" applyBorder="1" applyAlignment="1">
      <alignment horizontal="center" vertical="center"/>
    </xf>
    <xf numFmtId="0" fontId="28" fillId="2" borderId="1" xfId="0" applyFont="1" applyFill="1" applyBorder="1" applyAlignment="1">
      <alignment horizontal="center"/>
    </xf>
    <xf numFmtId="0" fontId="27" fillId="9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horizontal="center" vertical="top" wrapText="1"/>
    </xf>
    <xf numFmtId="0" fontId="10" fillId="0" borderId="0" xfId="0" quotePrefix="1" applyFont="1" applyAlignment="1">
      <alignment horizontal="left" indent="2"/>
    </xf>
    <xf numFmtId="0" fontId="10" fillId="0" borderId="0" xfId="0" quotePrefix="1" applyFont="1" applyAlignment="1">
      <alignment horizontal="left" wrapText="1" indent="2"/>
    </xf>
    <xf numFmtId="0" fontId="0" fillId="4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8" borderId="0" xfId="0" applyFill="1" applyBorder="1" applyAlignment="1">
      <alignment horizontal="center" vertical="center" wrapText="1"/>
    </xf>
    <xf numFmtId="0" fontId="0" fillId="0" borderId="0" xfId="0" applyNumberFormat="1" applyBorder="1"/>
    <xf numFmtId="0" fontId="0" fillId="0" borderId="0" xfId="0" applyBorder="1" applyAlignment="1"/>
    <xf numFmtId="0" fontId="6" fillId="2" borderId="0" xfId="1" applyFont="1" applyFill="1" applyAlignment="1">
      <alignment horizontal="left"/>
    </xf>
    <xf numFmtId="0" fontId="10" fillId="0" borderId="0" xfId="0" applyFont="1" applyAlignment="1">
      <alignment horizontal="left" wrapText="1"/>
    </xf>
    <xf numFmtId="0" fontId="10" fillId="0" borderId="0" xfId="0" quotePrefix="1" applyFont="1" applyAlignment="1">
      <alignment horizontal="left" wrapText="1"/>
    </xf>
    <xf numFmtId="0" fontId="2" fillId="2" borderId="17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10" borderId="19" xfId="0" applyFont="1" applyFill="1" applyBorder="1" applyAlignment="1">
      <alignment horizontal="center"/>
    </xf>
    <xf numFmtId="0" fontId="2" fillId="10" borderId="20" xfId="0" applyFont="1" applyFill="1" applyBorder="1" applyAlignment="1">
      <alignment horizontal="center"/>
    </xf>
    <xf numFmtId="0" fontId="2" fillId="10" borderId="18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13" fillId="0" borderId="12" xfId="0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3" fillId="0" borderId="14" xfId="0" applyFont="1" applyBorder="1" applyAlignment="1">
      <alignment horizontal="right"/>
    </xf>
    <xf numFmtId="0" fontId="15" fillId="5" borderId="2" xfId="0" applyFont="1" applyFill="1" applyBorder="1" applyAlignment="1">
      <alignment horizontal="center"/>
    </xf>
    <xf numFmtId="0" fontId="15" fillId="5" borderId="3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20" fillId="0" borderId="12" xfId="0" applyFont="1" applyBorder="1" applyAlignment="1">
      <alignment horizontal="right"/>
    </xf>
    <xf numFmtId="0" fontId="20" fillId="0" borderId="13" xfId="0" applyFont="1" applyBorder="1" applyAlignment="1">
      <alignment horizontal="right"/>
    </xf>
    <xf numFmtId="0" fontId="20" fillId="0" borderId="14" xfId="0" applyFont="1" applyBorder="1" applyAlignment="1">
      <alignment horizontal="right"/>
    </xf>
  </cellXfs>
  <cellStyles count="5">
    <cellStyle name="Moneda" xfId="3" builtinId="4"/>
    <cellStyle name="Normal" xfId="0" builtinId="0"/>
    <cellStyle name="Normal 2 2" xfId="1"/>
    <cellStyle name="Normal 2 2 2" xfId="2"/>
    <cellStyle name="Porcentaje" xfId="4" builtinId="5"/>
  </cellStyles>
  <dxfs count="58"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14</xdr:row>
          <xdr:rowOff>142875</xdr:rowOff>
        </xdr:from>
        <xdr:to>
          <xdr:col>3</xdr:col>
          <xdr:colOff>561975</xdr:colOff>
          <xdr:row>16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22</xdr:row>
          <xdr:rowOff>142875</xdr:rowOff>
        </xdr:from>
        <xdr:to>
          <xdr:col>3</xdr:col>
          <xdr:colOff>571500</xdr:colOff>
          <xdr:row>24</xdr:row>
          <xdr:rowOff>28575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2124075</xdr:colOff>
          <xdr:row>49</xdr:row>
          <xdr:rowOff>123825</xdr:rowOff>
        </xdr:from>
        <xdr:to>
          <xdr:col>2</xdr:col>
          <xdr:colOff>1295400</xdr:colOff>
          <xdr:row>51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Calculate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819150</xdr:colOff>
          <xdr:row>14</xdr:row>
          <xdr:rowOff>142875</xdr:rowOff>
        </xdr:from>
        <xdr:to>
          <xdr:col>1</xdr:col>
          <xdr:colOff>2238375</xdr:colOff>
          <xdr:row>16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Import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22</xdr:row>
          <xdr:rowOff>142875</xdr:rowOff>
        </xdr:from>
        <xdr:to>
          <xdr:col>1</xdr:col>
          <xdr:colOff>2228850</xdr:colOff>
          <xdr:row>24</xdr:row>
          <xdr:rowOff>28575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Import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219075</xdr:colOff>
      <xdr:row>10</xdr:row>
      <xdr:rowOff>76199</xdr:rowOff>
    </xdr:from>
    <xdr:to>
      <xdr:col>4</xdr:col>
      <xdr:colOff>123825</xdr:colOff>
      <xdr:row>16</xdr:row>
      <xdr:rowOff>133349</xdr:rowOff>
    </xdr:to>
    <xdr:sp macro="" textlink="">
      <xdr:nvSpPr>
        <xdr:cNvPr id="2" name="Rectángulo redondeado 1"/>
        <xdr:cNvSpPr/>
      </xdr:nvSpPr>
      <xdr:spPr>
        <a:xfrm>
          <a:off x="219075" y="2285999"/>
          <a:ext cx="6038850" cy="1209675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219075</xdr:colOff>
      <xdr:row>18</xdr:row>
      <xdr:rowOff>66674</xdr:rowOff>
    </xdr:from>
    <xdr:to>
      <xdr:col>4</xdr:col>
      <xdr:colOff>114300</xdr:colOff>
      <xdr:row>24</xdr:row>
      <xdr:rowOff>123824</xdr:rowOff>
    </xdr:to>
    <xdr:sp macro="" textlink="">
      <xdr:nvSpPr>
        <xdr:cNvPr id="9" name="Rectángulo redondeado 8"/>
        <xdr:cNvSpPr/>
      </xdr:nvSpPr>
      <xdr:spPr>
        <a:xfrm>
          <a:off x="219075" y="3809999"/>
          <a:ext cx="6029325" cy="1209675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238125</xdr:colOff>
      <xdr:row>34</xdr:row>
      <xdr:rowOff>66674</xdr:rowOff>
    </xdr:from>
    <xdr:to>
      <xdr:col>4</xdr:col>
      <xdr:colOff>123825</xdr:colOff>
      <xdr:row>51</xdr:row>
      <xdr:rowOff>123824</xdr:rowOff>
    </xdr:to>
    <xdr:sp macro="" textlink="">
      <xdr:nvSpPr>
        <xdr:cNvPr id="10" name="Rectángulo redondeado 9"/>
        <xdr:cNvSpPr/>
      </xdr:nvSpPr>
      <xdr:spPr>
        <a:xfrm>
          <a:off x="238125" y="6879850"/>
          <a:ext cx="6026524" cy="3497356"/>
        </a:xfrm>
        <a:prstGeom prst="roundRect">
          <a:avLst>
            <a:gd name="adj" fmla="val 3851"/>
          </a:avLst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2028825</xdr:colOff>
          <xdr:row>6</xdr:row>
          <xdr:rowOff>104775</xdr:rowOff>
        </xdr:from>
        <xdr:to>
          <xdr:col>2</xdr:col>
          <xdr:colOff>1200150</xdr:colOff>
          <xdr:row>7</xdr:row>
          <xdr:rowOff>180975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Import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219075</xdr:colOff>
      <xdr:row>2</xdr:row>
      <xdr:rowOff>76199</xdr:rowOff>
    </xdr:from>
    <xdr:to>
      <xdr:col>4</xdr:col>
      <xdr:colOff>142875</xdr:colOff>
      <xdr:row>8</xdr:row>
      <xdr:rowOff>133349</xdr:rowOff>
    </xdr:to>
    <xdr:sp macro="" textlink="">
      <xdr:nvSpPr>
        <xdr:cNvPr id="13" name="Rectángulo redondeado 12"/>
        <xdr:cNvSpPr/>
      </xdr:nvSpPr>
      <xdr:spPr>
        <a:xfrm>
          <a:off x="219075" y="752474"/>
          <a:ext cx="6057900" cy="1209675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2124075</xdr:colOff>
          <xdr:row>30</xdr:row>
          <xdr:rowOff>123825</xdr:rowOff>
        </xdr:from>
        <xdr:to>
          <xdr:col>2</xdr:col>
          <xdr:colOff>1295400</xdr:colOff>
          <xdr:row>32</xdr:row>
          <xdr:rowOff>9525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Calculate Coverage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overagr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Calculate Capacity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238125</xdr:colOff>
      <xdr:row>26</xdr:row>
      <xdr:rowOff>66674</xdr:rowOff>
    </xdr:from>
    <xdr:to>
      <xdr:col>4</xdr:col>
      <xdr:colOff>123825</xdr:colOff>
      <xdr:row>32</xdr:row>
      <xdr:rowOff>123824</xdr:rowOff>
    </xdr:to>
    <xdr:sp macro="" textlink="">
      <xdr:nvSpPr>
        <xdr:cNvPr id="15" name="Rectángulo redondeado 14"/>
        <xdr:cNvSpPr/>
      </xdr:nvSpPr>
      <xdr:spPr>
        <a:xfrm>
          <a:off x="238125" y="6867524"/>
          <a:ext cx="6019800" cy="1209675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2124075</xdr:colOff>
          <xdr:row>57</xdr:row>
          <xdr:rowOff>123825</xdr:rowOff>
        </xdr:from>
        <xdr:to>
          <xdr:col>2</xdr:col>
          <xdr:colOff>1295400</xdr:colOff>
          <xdr:row>59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Export Financial Model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Calculate Coverage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overagr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Calculate Capacity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238125</xdr:colOff>
      <xdr:row>53</xdr:row>
      <xdr:rowOff>66674</xdr:rowOff>
    </xdr:from>
    <xdr:to>
      <xdr:col>4</xdr:col>
      <xdr:colOff>123825</xdr:colOff>
      <xdr:row>59</xdr:row>
      <xdr:rowOff>123824</xdr:rowOff>
    </xdr:to>
    <xdr:sp macro="" textlink="">
      <xdr:nvSpPr>
        <xdr:cNvPr id="16" name="Rectángulo redondeado 15"/>
        <xdr:cNvSpPr/>
      </xdr:nvSpPr>
      <xdr:spPr>
        <a:xfrm>
          <a:off x="238125" y="5344645"/>
          <a:ext cx="6026524" cy="1211355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Polygons" displayName="Polygons" ref="B4:I6" totalsRowShown="0" headerRowDxfId="57" dataDxfId="56">
  <autoFilter ref="B4:I6"/>
  <tableColumns count="8">
    <tableColumn id="1" name="Polygon ID" dataDxfId="55"/>
    <tableColumn id="2" name="Area" dataDxfId="54"/>
    <tableColumn id="3" name="Population" dataDxfId="53"/>
    <tableColumn id="4" name="Housing Units" dataDxfId="52"/>
    <tableColumn id="5" name="EBS BW" dataDxfId="51"/>
    <tableColumn id="6" name="EBS CH1 Availability" dataDxfId="50"/>
    <tableColumn id="7" name="EBS CH2 Availability" dataDxfId="49"/>
    <tableColumn id="8" name="EBS CH3 Availability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ts" displayName="Assets" ref="B4:H6" totalsRowShown="0" headerRowDxfId="47" dataDxfId="45" headerRowBorderDxfId="46" tableBorderDxfId="44" totalsRowBorderDxfId="43">
  <autoFilter ref="B4:H6"/>
  <tableColumns count="7">
    <tableColumn id="1" name="Asset ID" dataDxfId="42"/>
    <tableColumn id="2" name="Asset Name" dataDxfId="41"/>
    <tableColumn id="3" name="Latitude" dataDxfId="40"/>
    <tableColumn id="4" name="Longitude" dataDxfId="39"/>
    <tableColumn id="5" name="Backhaul Site" dataDxfId="38"/>
    <tableColumn id="6" name="Site Type" dataDxfId="37"/>
    <tableColumn id="7" name="Tower Height" dataDxfId="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HLD" displayName="HLD" ref="B4:AF6" totalsRowShown="0" headerRowDxfId="35" dataDxfId="33" headerRowBorderDxfId="34" tableBorderDxfId="32" totalsRowBorderDxfId="31">
  <autoFilter ref="B4:AF6"/>
  <tableColumns count="31">
    <tableColumn id="1" name="Site ID" dataDxfId="30"/>
    <tableColumn id="2" name="Site Name" dataDxfId="29"/>
    <tableColumn id="3" name="Latitude" dataDxfId="28"/>
    <tableColumn id="4" name="Longitude" dataDxfId="27"/>
    <tableColumn id="5" name="Core Site" dataDxfId="26"/>
    <tableColumn id="6" name="Site Type" dataDxfId="25"/>
    <tableColumn id="7" name="Tower Height" dataDxfId="24"/>
    <tableColumn id="8" name="Tower Mods Required" dataDxfId="23"/>
    <tableColumn id="9" name="Site Leasing" dataDxfId="22"/>
    <tableColumn id="10" name="Power Supply" dataDxfId="21"/>
    <tableColumn id="11" name="Total Power Load" dataDxfId="20"/>
    <tableColumn id="12" name="RAN Antenna AGL" dataDxfId="19"/>
    <tableColumn id="13" name="RAN Configuration" dataDxfId="18"/>
    <tableColumn id="14" name="Frequency Band" dataDxfId="17"/>
    <tableColumn id="15" name="Priority Targets Covered" dataDxfId="16"/>
    <tableColumn id="29" name="Target Polygons Covered" dataDxfId="15"/>
    <tableColumn id="16" name="Name Target Polygons Covered" dataDxfId="14"/>
    <tableColumn id="17" name="RAN Covered Area Indoor" dataDxfId="13"/>
    <tableColumn id="18" name="RAN Covered Area Outdoor" dataDxfId="12"/>
    <tableColumn id="19" name="Covered Homes" dataDxfId="11"/>
    <tableColumn id="20" name="Outdoor Subscriber Ratio" dataDxfId="10"/>
    <tableColumn id="21" name="Next-hop Site Code" dataDxfId="9"/>
    <tableColumn id="22" name="Backhaul Type" dataDxfId="8"/>
    <tableColumn id="23" name="Backhaul Configuration" dataDxfId="7"/>
    <tableColumn id="24" name="# of Backhaul Links" dataDxfId="6"/>
    <tableColumn id="25" name="Site Bandwidth Demand" dataDxfId="5"/>
    <tableColumn id="26" name="Aggregated Bandwidth Demand" dataDxfId="4"/>
    <tableColumn id="27" name="MW Antenna AGL" dataDxfId="3"/>
    <tableColumn id="28" name="MW Link Distance" dataDxfId="2"/>
    <tableColumn id="31" name="Fiber Length" dataDxfId="1"/>
    <tableColumn id="32" name="Fiber Installation 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5:O12"/>
  <sheetViews>
    <sheetView showGridLines="0" tabSelected="1" workbookViewId="0">
      <selection activeCell="E16" sqref="E16"/>
    </sheetView>
  </sheetViews>
  <sheetFormatPr baseColWidth="10" defaultRowHeight="15" x14ac:dyDescent="0.25"/>
  <cols>
    <col min="1" max="1" width="4.5703125" style="7" customWidth="1"/>
    <col min="2" max="2" width="10.85546875" style="7" bestFit="1" customWidth="1"/>
    <col min="3" max="46" width="8.7109375" style="7" customWidth="1"/>
    <col min="47" max="16384" width="11.42578125" style="7"/>
  </cols>
  <sheetData>
    <row r="5" spans="1:15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</row>
    <row r="6" spans="1:15" ht="26.25" x14ac:dyDescent="0.4">
      <c r="A6" s="8"/>
      <c r="B6" s="64" t="s">
        <v>12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8"/>
    </row>
    <row r="7" spans="1:15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spans="1:15" ht="21" x14ac:dyDescent="0.25">
      <c r="A8" s="8"/>
      <c r="B8" s="9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spans="1:15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1:15" ht="21" x14ac:dyDescent="0.35">
      <c r="A10" s="8"/>
      <c r="B10" s="10" t="s">
        <v>178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</row>
    <row r="11" spans="1:15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spans="1:15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</sheetData>
  <mergeCells count="1">
    <mergeCell ref="B6:N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BD18"/>
  <sheetViews>
    <sheetView showGridLines="0" workbookViewId="0">
      <pane ySplit="1" topLeftCell="A2" activePane="bottomLeft" state="frozen"/>
      <selection pane="bottomLeft" activeCell="B15" sqref="B15"/>
    </sheetView>
  </sheetViews>
  <sheetFormatPr baseColWidth="10" defaultRowHeight="15" x14ac:dyDescent="0.25"/>
  <cols>
    <col min="1" max="1" width="2.5703125" customWidth="1"/>
    <col min="2" max="2" width="119.7109375" customWidth="1"/>
    <col min="3" max="5" width="26.5703125" customWidth="1"/>
    <col min="6" max="32" width="17.140625" customWidth="1"/>
  </cols>
  <sheetData>
    <row r="1" spans="2:56" s="4" customFormat="1" ht="38.25" customHeight="1" x14ac:dyDescent="0.25">
      <c r="B1" s="3" t="s">
        <v>163</v>
      </c>
    </row>
    <row r="3" spans="2:56" x14ac:dyDescent="0.25">
      <c r="B3" s="66" t="s">
        <v>164</v>
      </c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</row>
    <row r="5" spans="2:56" x14ac:dyDescent="0.25">
      <c r="B5" s="57" t="s">
        <v>166</v>
      </c>
    </row>
    <row r="6" spans="2:56" x14ac:dyDescent="0.25">
      <c r="B6" s="57" t="s">
        <v>167</v>
      </c>
    </row>
    <row r="7" spans="2:56" x14ac:dyDescent="0.25">
      <c r="B7" s="57" t="s">
        <v>168</v>
      </c>
    </row>
    <row r="8" spans="2:56" x14ac:dyDescent="0.25">
      <c r="B8" s="57" t="s">
        <v>169</v>
      </c>
    </row>
    <row r="9" spans="2:56" x14ac:dyDescent="0.25">
      <c r="B9" s="57" t="s">
        <v>170</v>
      </c>
    </row>
    <row r="11" spans="2:56" x14ac:dyDescent="0.25">
      <c r="B11" s="66" t="s">
        <v>165</v>
      </c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17"/>
      <c r="BC11" s="17"/>
      <c r="BD11" s="17"/>
    </row>
    <row r="12" spans="2:56" ht="28.5" x14ac:dyDescent="0.25">
      <c r="B12" s="58" t="s">
        <v>171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4"/>
      <c r="BC12" s="14"/>
      <c r="BD12" s="14"/>
    </row>
    <row r="13" spans="2:56" ht="28.5" x14ac:dyDescent="0.25">
      <c r="B13" s="58" t="s">
        <v>172</v>
      </c>
      <c r="E13" s="15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6"/>
    </row>
    <row r="14" spans="2:56" x14ac:dyDescent="0.25">
      <c r="B14" s="58" t="s">
        <v>176</v>
      </c>
      <c r="E14" s="15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6"/>
    </row>
    <row r="15" spans="2:56" x14ac:dyDescent="0.25">
      <c r="B15" s="58" t="s">
        <v>173</v>
      </c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6"/>
    </row>
    <row r="16" spans="2:56" x14ac:dyDescent="0.25">
      <c r="B16" s="58" t="s">
        <v>174</v>
      </c>
      <c r="E16" s="1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16"/>
    </row>
    <row r="17" spans="2:56" x14ac:dyDescent="0.25">
      <c r="B17" s="58" t="s">
        <v>175</v>
      </c>
      <c r="E17" s="11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11"/>
    </row>
    <row r="18" spans="2:56" x14ac:dyDescent="0.25">
      <c r="E18" s="13"/>
    </row>
  </sheetData>
  <mergeCells count="4">
    <mergeCell ref="F16:BC16"/>
    <mergeCell ref="F17:BC17"/>
    <mergeCell ref="B3:BA3"/>
    <mergeCell ref="B11:BA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E7"/>
  <sheetViews>
    <sheetView showGridLines="0" workbookViewId="0">
      <pane ySplit="1" topLeftCell="A2" activePane="bottomLeft" state="frozen"/>
      <selection pane="bottomLeft" activeCell="D14" sqref="D14"/>
    </sheetView>
  </sheetViews>
  <sheetFormatPr baseColWidth="10" defaultRowHeight="15" x14ac:dyDescent="0.25"/>
  <cols>
    <col min="1" max="1" width="2.5703125" customWidth="1"/>
    <col min="2" max="5" width="26.5703125" customWidth="1"/>
    <col min="6" max="32" width="17.140625" customWidth="1"/>
  </cols>
  <sheetData>
    <row r="1" spans="2:5" s="4" customFormat="1" ht="38.25" customHeight="1" x14ac:dyDescent="0.25">
      <c r="B1" s="3" t="s">
        <v>7</v>
      </c>
    </row>
    <row r="3" spans="2:5" x14ac:dyDescent="0.25">
      <c r="B3" s="5" t="s">
        <v>8</v>
      </c>
      <c r="C3" s="5" t="s">
        <v>9</v>
      </c>
      <c r="D3" s="5" t="s">
        <v>10</v>
      </c>
      <c r="E3" s="5" t="s">
        <v>11</v>
      </c>
    </row>
    <row r="4" spans="2:5" x14ac:dyDescent="0.25">
      <c r="B4" s="6"/>
      <c r="C4" s="6"/>
      <c r="D4" s="6"/>
      <c r="E4" s="6"/>
    </row>
    <row r="5" spans="2:5" x14ac:dyDescent="0.25">
      <c r="B5" s="6"/>
      <c r="C5" s="6"/>
      <c r="D5" s="6"/>
      <c r="E5" s="6"/>
    </row>
    <row r="6" spans="2:5" x14ac:dyDescent="0.25">
      <c r="B6" s="6"/>
      <c r="C6" s="6"/>
      <c r="D6" s="6"/>
      <c r="E6" s="6"/>
    </row>
    <row r="7" spans="2:5" x14ac:dyDescent="0.25">
      <c r="B7" s="6"/>
      <c r="C7" s="6"/>
      <c r="D7" s="6"/>
      <c r="E7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M64"/>
  <sheetViews>
    <sheetView showGridLines="0" zoomScale="85" zoomScaleNormal="85" workbookViewId="0">
      <pane ySplit="1" topLeftCell="A2" activePane="bottomLeft" state="frozen"/>
      <selection pane="bottomLeft" activeCell="C58" sqref="C58"/>
    </sheetView>
  </sheetViews>
  <sheetFormatPr baseColWidth="10" defaultRowHeight="15" outlineLevelRow="1" x14ac:dyDescent="0.25"/>
  <cols>
    <col min="1" max="1" width="5.140625" customWidth="1"/>
    <col min="2" max="2" width="33.7109375" customWidth="1"/>
    <col min="3" max="5" width="26.5703125" customWidth="1"/>
    <col min="6" max="32" width="17.140625" customWidth="1"/>
  </cols>
  <sheetData>
    <row r="1" spans="2:8" s="4" customFormat="1" ht="38.25" customHeight="1" x14ac:dyDescent="0.25">
      <c r="B1" s="3" t="s">
        <v>79</v>
      </c>
    </row>
    <row r="4" spans="2:8" ht="15.75" thickBot="1" x14ac:dyDescent="0.3">
      <c r="B4" s="19" t="s">
        <v>80</v>
      </c>
      <c r="C4" s="20"/>
      <c r="D4" s="20"/>
    </row>
    <row r="5" spans="2:8" x14ac:dyDescent="0.25">
      <c r="B5" s="38"/>
    </row>
    <row r="6" spans="2:8" x14ac:dyDescent="0.25">
      <c r="B6" s="40" t="s">
        <v>93</v>
      </c>
    </row>
    <row r="7" spans="2:8" s="39" customFormat="1" x14ac:dyDescent="0.25">
      <c r="B7" s="40"/>
      <c r="C7"/>
      <c r="D7"/>
      <c r="E7"/>
      <c r="F7"/>
      <c r="G7"/>
      <c r="H7"/>
    </row>
    <row r="8" spans="2:8" s="39" customFormat="1" x14ac:dyDescent="0.25">
      <c r="C8"/>
      <c r="D8"/>
      <c r="E8"/>
      <c r="F8"/>
      <c r="G8"/>
      <c r="H8"/>
    </row>
    <row r="12" spans="2:8" ht="15.75" thickBot="1" x14ac:dyDescent="0.3">
      <c r="B12" s="19" t="s">
        <v>73</v>
      </c>
      <c r="C12" s="20"/>
      <c r="D12" s="20"/>
    </row>
    <row r="13" spans="2:8" x14ac:dyDescent="0.25">
      <c r="B13" s="38"/>
    </row>
    <row r="14" spans="2:8" x14ac:dyDescent="0.25">
      <c r="B14" s="40" t="s">
        <v>90</v>
      </c>
    </row>
    <row r="15" spans="2:8" s="39" customFormat="1" x14ac:dyDescent="0.25">
      <c r="B15" s="40"/>
      <c r="C15"/>
      <c r="D15"/>
      <c r="E15"/>
      <c r="F15"/>
      <c r="G15"/>
      <c r="H15"/>
    </row>
    <row r="16" spans="2:8" s="39" customFormat="1" x14ac:dyDescent="0.25">
      <c r="C16"/>
      <c r="D16"/>
      <c r="E16"/>
      <c r="F16"/>
      <c r="G16"/>
      <c r="H16"/>
    </row>
    <row r="20" spans="2:4" ht="15.75" thickBot="1" x14ac:dyDescent="0.3">
      <c r="B20" s="19" t="s">
        <v>74</v>
      </c>
      <c r="C20" s="20"/>
      <c r="D20" s="20"/>
    </row>
    <row r="21" spans="2:4" x14ac:dyDescent="0.25">
      <c r="B21" s="38"/>
    </row>
    <row r="22" spans="2:4" x14ac:dyDescent="0.25">
      <c r="B22" s="40" t="s">
        <v>91</v>
      </c>
    </row>
    <row r="25" spans="2:4" s="39" customFormat="1" x14ac:dyDescent="0.25"/>
    <row r="26" spans="2:4" s="39" customFormat="1" x14ac:dyDescent="0.25"/>
    <row r="27" spans="2:4" s="39" customFormat="1" x14ac:dyDescent="0.25"/>
    <row r="28" spans="2:4" s="39" customFormat="1" ht="15.75" thickBot="1" x14ac:dyDescent="0.3">
      <c r="B28" s="19" t="s">
        <v>94</v>
      </c>
      <c r="C28" s="20"/>
      <c r="D28" s="20"/>
    </row>
    <row r="29" spans="2:4" s="39" customFormat="1" x14ac:dyDescent="0.25">
      <c r="B29" s="38"/>
      <c r="C29"/>
      <c r="D29"/>
    </row>
    <row r="30" spans="2:4" s="39" customFormat="1" x14ac:dyDescent="0.25">
      <c r="B30" s="40" t="s">
        <v>95</v>
      </c>
      <c r="C30"/>
      <c r="D30"/>
    </row>
    <row r="31" spans="2:4" s="39" customFormat="1" x14ac:dyDescent="0.25"/>
    <row r="32" spans="2:4" s="39" customFormat="1" x14ac:dyDescent="0.25"/>
    <row r="34" spans="2:13" s="39" customFormat="1" x14ac:dyDescent="0.25">
      <c r="F34"/>
      <c r="G34"/>
      <c r="H34"/>
    </row>
    <row r="35" spans="2:13" s="39" customFormat="1" x14ac:dyDescent="0.25">
      <c r="F35"/>
      <c r="G35"/>
      <c r="H35"/>
    </row>
    <row r="36" spans="2:13" s="39" customFormat="1" ht="15.75" thickBot="1" x14ac:dyDescent="0.3">
      <c r="B36" s="49" t="s">
        <v>78</v>
      </c>
      <c r="C36" s="20"/>
      <c r="D36" s="20"/>
      <c r="F36"/>
      <c r="G36"/>
      <c r="H36"/>
    </row>
    <row r="37" spans="2:13" s="39" customFormat="1" x14ac:dyDescent="0.25">
      <c r="B37" s="38"/>
      <c r="C37"/>
      <c r="D37"/>
      <c r="F37"/>
      <c r="G37"/>
      <c r="H37"/>
    </row>
    <row r="38" spans="2:13" s="39" customFormat="1" x14ac:dyDescent="0.25">
      <c r="B38" s="40" t="s">
        <v>92</v>
      </c>
      <c r="C38"/>
      <c r="D38"/>
      <c r="F38"/>
      <c r="G38"/>
      <c r="H38"/>
    </row>
    <row r="39" spans="2:13" s="39" customFormat="1" x14ac:dyDescent="0.25">
      <c r="B39" s="40"/>
      <c r="C39"/>
      <c r="D39"/>
      <c r="F39"/>
      <c r="G39"/>
      <c r="H39"/>
    </row>
    <row r="40" spans="2:13" x14ac:dyDescent="0.25">
      <c r="B40" s="38" t="s">
        <v>96</v>
      </c>
      <c r="C40" s="44"/>
      <c r="D40" s="41"/>
      <c r="E40" s="41"/>
      <c r="I40" s="41"/>
      <c r="J40" s="41"/>
      <c r="K40" s="41"/>
      <c r="L40" s="41"/>
      <c r="M40" s="42"/>
    </row>
    <row r="41" spans="2:13" hidden="1" outlineLevel="1" x14ac:dyDescent="0.25">
      <c r="B41" s="43" t="s">
        <v>99</v>
      </c>
      <c r="C41" s="46">
        <v>0.8</v>
      </c>
      <c r="I41" s="41"/>
      <c r="J41" s="41"/>
      <c r="K41" s="41"/>
      <c r="L41" s="41"/>
      <c r="M41" s="42"/>
    </row>
    <row r="42" spans="2:13" hidden="1" outlineLevel="1" x14ac:dyDescent="0.25">
      <c r="B42" s="38"/>
      <c r="C42" s="44"/>
      <c r="D42" s="41"/>
      <c r="E42" s="41"/>
      <c r="I42" s="41"/>
      <c r="J42" s="41"/>
      <c r="K42" s="41"/>
      <c r="L42" s="41"/>
      <c r="M42" s="42"/>
    </row>
    <row r="43" spans="2:13" hidden="1" outlineLevel="1" x14ac:dyDescent="0.25">
      <c r="B43" s="43" t="s">
        <v>97</v>
      </c>
      <c r="C43" s="26">
        <v>15</v>
      </c>
      <c r="G43" s="41"/>
      <c r="H43" s="41"/>
      <c r="I43" s="41"/>
      <c r="J43" s="41"/>
      <c r="K43" s="41"/>
      <c r="L43" s="41"/>
      <c r="M43" s="42"/>
    </row>
    <row r="44" spans="2:13" hidden="1" outlineLevel="1" x14ac:dyDescent="0.25">
      <c r="B44" s="38"/>
      <c r="C44" s="44"/>
      <c r="G44" s="41"/>
      <c r="H44" s="41"/>
      <c r="I44" s="41"/>
      <c r="J44" s="41"/>
      <c r="K44" s="41"/>
      <c r="L44" s="41"/>
      <c r="M44" s="42"/>
    </row>
    <row r="45" spans="2:13" ht="15" hidden="1" customHeight="1" outlineLevel="1" x14ac:dyDescent="0.25">
      <c r="B45" s="43" t="s">
        <v>98</v>
      </c>
      <c r="C45" s="45">
        <v>0.85</v>
      </c>
    </row>
    <row r="46" spans="2:13" ht="15" hidden="1" customHeight="1" outlineLevel="1" x14ac:dyDescent="0.25"/>
    <row r="47" spans="2:13" hidden="1" outlineLevel="1" x14ac:dyDescent="0.25">
      <c r="B47" s="43" t="s">
        <v>100</v>
      </c>
      <c r="C47" s="47">
        <v>25</v>
      </c>
      <c r="G47" s="41"/>
      <c r="H47" s="41"/>
      <c r="I47" s="41"/>
      <c r="J47" s="41"/>
      <c r="K47" s="41"/>
      <c r="L47" s="41"/>
      <c r="M47" s="42"/>
    </row>
    <row r="48" spans="2:13" hidden="1" outlineLevel="1" x14ac:dyDescent="0.25">
      <c r="B48" s="38"/>
      <c r="C48" s="48"/>
      <c r="G48" s="41"/>
      <c r="H48" s="41"/>
      <c r="I48" s="41"/>
      <c r="J48" s="41"/>
      <c r="K48" s="41"/>
      <c r="L48" s="41"/>
      <c r="M48" s="42"/>
    </row>
    <row r="49" spans="2:4" ht="15" hidden="1" customHeight="1" outlineLevel="1" x14ac:dyDescent="0.25">
      <c r="B49" s="43" t="s">
        <v>101</v>
      </c>
      <c r="C49" s="47">
        <v>3</v>
      </c>
    </row>
    <row r="50" spans="2:4" s="39" customFormat="1" collapsed="1" x14ac:dyDescent="0.25"/>
    <row r="51" spans="2:4" s="39" customFormat="1" x14ac:dyDescent="0.25"/>
    <row r="53" spans="2:4" s="39" customFormat="1" x14ac:dyDescent="0.25"/>
    <row r="54" spans="2:4" s="39" customFormat="1" x14ac:dyDescent="0.25"/>
    <row r="55" spans="2:4" s="39" customFormat="1" ht="15.75" thickBot="1" x14ac:dyDescent="0.3">
      <c r="B55" s="19" t="s">
        <v>102</v>
      </c>
      <c r="C55" s="20"/>
      <c r="D55" s="20"/>
    </row>
    <row r="56" spans="2:4" s="39" customFormat="1" x14ac:dyDescent="0.25">
      <c r="B56" s="38"/>
      <c r="C56"/>
      <c r="D56"/>
    </row>
    <row r="57" spans="2:4" s="39" customFormat="1" x14ac:dyDescent="0.25">
      <c r="B57" s="40" t="s">
        <v>103</v>
      </c>
      <c r="C57"/>
      <c r="D57"/>
    </row>
    <row r="58" spans="2:4" s="39" customFormat="1" x14ac:dyDescent="0.25"/>
    <row r="59" spans="2:4" s="39" customFormat="1" x14ac:dyDescent="0.25"/>
    <row r="61" spans="2:4" s="39" customFormat="1" x14ac:dyDescent="0.25"/>
    <row r="63" spans="2:4" x14ac:dyDescent="0.25">
      <c r="C63" s="1"/>
    </row>
    <row r="64" spans="2:4" x14ac:dyDescent="0.25">
      <c r="C64" s="1"/>
    </row>
  </sheetData>
  <dataValidations count="1">
    <dataValidation type="list" allowBlank="1" showInputMessage="1" showErrorMessage="1" sqref="C43">
      <formula1>"10,15,20,25,30,35"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ssets_Export_Table">
                <anchor moveWithCells="1" sizeWithCells="1">
                  <from>
                    <xdr:col>2</xdr:col>
                    <xdr:colOff>914400</xdr:colOff>
                    <xdr:row>14</xdr:row>
                    <xdr:rowOff>142875</xdr:rowOff>
                  </from>
                  <to>
                    <xdr:col>3</xdr:col>
                    <xdr:colOff>561975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RAN_Sites_Export_Table">
                <anchor moveWithCells="1" sizeWithCells="1">
                  <from>
                    <xdr:col>2</xdr:col>
                    <xdr:colOff>923925</xdr:colOff>
                    <xdr:row>22</xdr:row>
                    <xdr:rowOff>142875</xdr:rowOff>
                  </from>
                  <to>
                    <xdr:col>3</xdr:col>
                    <xdr:colOff>571500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culate_Capacity_Table">
                <anchor moveWithCells="1" sizeWithCells="1">
                  <from>
                    <xdr:col>1</xdr:col>
                    <xdr:colOff>2124075</xdr:colOff>
                    <xdr:row>49</xdr:row>
                    <xdr:rowOff>123825</xdr:rowOff>
                  </from>
                  <to>
                    <xdr:col>2</xdr:col>
                    <xdr:colOff>1295400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Assets_Import_Table">
                <anchor moveWithCells="1" sizeWithCells="1">
                  <from>
                    <xdr:col>1</xdr:col>
                    <xdr:colOff>819150</xdr:colOff>
                    <xdr:row>14</xdr:row>
                    <xdr:rowOff>142875</xdr:rowOff>
                  </from>
                  <to>
                    <xdr:col>1</xdr:col>
                    <xdr:colOff>2238375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RAN_Sites_Import_Table">
                <anchor moveWithCells="1" sizeWithCells="1">
                  <from>
                    <xdr:col>1</xdr:col>
                    <xdr:colOff>809625</xdr:colOff>
                    <xdr:row>22</xdr:row>
                    <xdr:rowOff>142875</xdr:rowOff>
                  </from>
                  <to>
                    <xdr:col>1</xdr:col>
                    <xdr:colOff>2228850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Polygon_Import_Table">
                <anchor moveWithCells="1" sizeWithCells="1">
                  <from>
                    <xdr:col>1</xdr:col>
                    <xdr:colOff>2028825</xdr:colOff>
                    <xdr:row>6</xdr:row>
                    <xdr:rowOff>104775</xdr:rowOff>
                  </from>
                  <to>
                    <xdr:col>2</xdr:col>
                    <xdr:colOff>1200150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Calculate_Coverage_Table">
                <anchor moveWithCells="1" sizeWithCells="1">
                  <from>
                    <xdr:col>1</xdr:col>
                    <xdr:colOff>2124075</xdr:colOff>
                    <xdr:row>30</xdr:row>
                    <xdr:rowOff>123825</xdr:rowOff>
                  </from>
                  <to>
                    <xdr:col>2</xdr:col>
                    <xdr:colOff>1295400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Financial_Export_Table">
                <anchor moveWithCells="1" sizeWithCells="1">
                  <from>
                    <xdr:col>1</xdr:col>
                    <xdr:colOff>2124075</xdr:colOff>
                    <xdr:row>57</xdr:row>
                    <xdr:rowOff>123825</xdr:rowOff>
                  </from>
                  <to>
                    <xdr:col>2</xdr:col>
                    <xdr:colOff>1295400</xdr:colOff>
                    <xdr:row>59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1:I13"/>
  <sheetViews>
    <sheetView showGridLines="0" zoomScale="85" zoomScaleNormal="85" workbookViewId="0">
      <pane ySplit="1" topLeftCell="A2" activePane="bottomLeft" state="frozen"/>
      <selection pane="bottomLeft" activeCell="H11" sqref="H11"/>
    </sheetView>
  </sheetViews>
  <sheetFormatPr baseColWidth="10" defaultRowHeight="15" x14ac:dyDescent="0.25"/>
  <cols>
    <col min="1" max="1" width="2.5703125" customWidth="1"/>
    <col min="2" max="2" width="20.85546875" bestFit="1" customWidth="1"/>
    <col min="3" max="6" width="17.140625" customWidth="1"/>
    <col min="7" max="9" width="20.140625" customWidth="1"/>
  </cols>
  <sheetData>
    <row r="1" spans="2:9" s="4" customFormat="1" ht="38.25" customHeight="1" x14ac:dyDescent="0.25">
      <c r="B1" s="3" t="s">
        <v>80</v>
      </c>
    </row>
    <row r="2" spans="2:9" x14ac:dyDescent="0.25">
      <c r="B2" s="1"/>
      <c r="C2" s="1"/>
      <c r="D2" s="1"/>
      <c r="E2" s="1"/>
      <c r="F2" s="1"/>
      <c r="G2" s="1"/>
      <c r="H2" s="1"/>
    </row>
    <row r="3" spans="2:9" x14ac:dyDescent="0.25">
      <c r="B3" s="67" t="s">
        <v>88</v>
      </c>
      <c r="C3" s="68"/>
      <c r="D3" s="68"/>
      <c r="E3" s="68"/>
      <c r="F3" s="68"/>
      <c r="G3" s="68"/>
      <c r="H3" s="68"/>
      <c r="I3" s="68"/>
    </row>
    <row r="4" spans="2:9" ht="30.75" customHeight="1" x14ac:dyDescent="0.25">
      <c r="B4" s="59" t="s">
        <v>177</v>
      </c>
      <c r="C4" s="59" t="s">
        <v>81</v>
      </c>
      <c r="D4" s="59" t="s">
        <v>82</v>
      </c>
      <c r="E4" s="59" t="s">
        <v>83</v>
      </c>
      <c r="F4" s="59" t="s">
        <v>84</v>
      </c>
      <c r="G4" s="59" t="s">
        <v>85</v>
      </c>
      <c r="H4" s="59" t="s">
        <v>86</v>
      </c>
      <c r="I4" s="59" t="s">
        <v>87</v>
      </c>
    </row>
    <row r="5" spans="2:9" x14ac:dyDescent="0.25">
      <c r="B5" s="1"/>
      <c r="C5" s="1"/>
      <c r="D5" s="1"/>
      <c r="E5" s="1"/>
      <c r="F5" s="1"/>
      <c r="G5" s="1"/>
      <c r="H5" s="1"/>
      <c r="I5" s="1"/>
    </row>
    <row r="6" spans="2:9" x14ac:dyDescent="0.25">
      <c r="B6" s="60"/>
      <c r="C6" s="60"/>
      <c r="D6" s="60"/>
      <c r="E6" s="60"/>
      <c r="F6" s="60"/>
      <c r="G6" s="60"/>
      <c r="H6" s="60"/>
      <c r="I6" s="60"/>
    </row>
    <row r="7" spans="2:9" x14ac:dyDescent="0.25">
      <c r="B7" s="60"/>
      <c r="C7" s="60"/>
      <c r="D7" s="60"/>
      <c r="E7" s="60"/>
      <c r="F7" s="60"/>
      <c r="G7" s="60"/>
      <c r="H7" s="60"/>
      <c r="I7" s="60"/>
    </row>
    <row r="8" spans="2:9" x14ac:dyDescent="0.25">
      <c r="B8" s="60"/>
      <c r="C8" s="60"/>
      <c r="D8" s="60"/>
      <c r="E8" s="60"/>
      <c r="F8" s="60"/>
      <c r="G8" s="60"/>
      <c r="H8" s="60"/>
      <c r="I8" s="60"/>
    </row>
    <row r="9" spans="2:9" x14ac:dyDescent="0.25">
      <c r="B9" s="60"/>
      <c r="C9" s="60"/>
      <c r="D9" s="60"/>
      <c r="E9" s="60"/>
      <c r="F9" s="60"/>
      <c r="G9" s="60"/>
      <c r="H9" s="60"/>
      <c r="I9" s="60"/>
    </row>
    <row r="10" spans="2:9" x14ac:dyDescent="0.25">
      <c r="B10" s="1"/>
      <c r="C10" s="1"/>
      <c r="D10" s="1"/>
      <c r="E10" s="1"/>
      <c r="F10" s="1"/>
      <c r="G10" s="1"/>
      <c r="H10" s="1"/>
      <c r="I10" s="1"/>
    </row>
    <row r="11" spans="2:9" x14ac:dyDescent="0.25">
      <c r="B11" s="1"/>
      <c r="C11" s="1"/>
      <c r="D11" s="1"/>
      <c r="E11" s="1"/>
      <c r="F11" s="1"/>
      <c r="G11" s="1"/>
      <c r="H11" s="1"/>
      <c r="I11" s="1"/>
    </row>
    <row r="12" spans="2:9" x14ac:dyDescent="0.25">
      <c r="B12" s="1"/>
      <c r="C12" s="1"/>
      <c r="D12" s="1"/>
      <c r="E12" s="1"/>
      <c r="F12" s="1"/>
      <c r="G12" s="1"/>
      <c r="H12" s="1"/>
      <c r="I12" s="1"/>
    </row>
    <row r="13" spans="2:9" x14ac:dyDescent="0.25">
      <c r="B13" s="1"/>
      <c r="C13" s="1"/>
      <c r="D13" s="1"/>
      <c r="E13" s="1"/>
      <c r="F13" s="1"/>
      <c r="G13" s="1"/>
      <c r="H13" s="1"/>
      <c r="I13" s="1"/>
    </row>
  </sheetData>
  <mergeCells count="1">
    <mergeCell ref="B3:I3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22"/>
  <sheetViews>
    <sheetView showGridLines="0" zoomScale="85" zoomScaleNormal="85" workbookViewId="0">
      <pane ySplit="1" topLeftCell="A2" activePane="bottomLeft" state="frozen"/>
      <selection pane="bottomLeft" activeCell="J10" sqref="J10"/>
    </sheetView>
  </sheetViews>
  <sheetFormatPr baseColWidth="10" defaultRowHeight="15" x14ac:dyDescent="0.25"/>
  <cols>
    <col min="1" max="1" width="2.5703125" customWidth="1"/>
    <col min="2" max="8" width="17.140625" style="2" customWidth="1"/>
  </cols>
  <sheetData>
    <row r="1" spans="1:8" s="4" customFormat="1" ht="38.25" customHeight="1" x14ac:dyDescent="0.25">
      <c r="B1" s="3" t="s">
        <v>73</v>
      </c>
    </row>
    <row r="2" spans="1:8" x14ac:dyDescent="0.25">
      <c r="B2"/>
      <c r="C2"/>
      <c r="D2"/>
      <c r="E2"/>
      <c r="F2"/>
      <c r="G2"/>
      <c r="H2"/>
    </row>
    <row r="3" spans="1:8" x14ac:dyDescent="0.25">
      <c r="B3" s="69" t="s">
        <v>75</v>
      </c>
      <c r="C3" s="70"/>
      <c r="D3" s="70"/>
      <c r="E3" s="70"/>
      <c r="F3" s="70"/>
      <c r="G3" s="70"/>
      <c r="H3" s="70"/>
    </row>
    <row r="4" spans="1:8" ht="24.75" customHeight="1" x14ac:dyDescent="0.25">
      <c r="A4" s="2"/>
      <c r="B4" s="59" t="s">
        <v>76</v>
      </c>
      <c r="C4" s="59" t="s">
        <v>77</v>
      </c>
      <c r="D4" s="59" t="s">
        <v>1</v>
      </c>
      <c r="E4" s="59" t="s">
        <v>2</v>
      </c>
      <c r="F4" s="59" t="s">
        <v>184</v>
      </c>
      <c r="G4" s="59" t="s">
        <v>15</v>
      </c>
      <c r="H4" s="59" t="s">
        <v>16</v>
      </c>
    </row>
    <row r="5" spans="1:8" x14ac:dyDescent="0.25">
      <c r="A5" s="2"/>
      <c r="B5" s="60"/>
      <c r="C5" s="60"/>
      <c r="D5" s="60"/>
      <c r="E5" s="60"/>
      <c r="F5" s="60"/>
      <c r="G5" s="60"/>
      <c r="H5" s="60"/>
    </row>
    <row r="6" spans="1:8" x14ac:dyDescent="0.25">
      <c r="A6" s="2"/>
      <c r="B6" s="60"/>
      <c r="C6" s="60"/>
      <c r="D6" s="60"/>
      <c r="E6" s="60"/>
      <c r="F6" s="60"/>
      <c r="G6" s="60"/>
      <c r="H6" s="60"/>
    </row>
    <row r="7" spans="1:8" x14ac:dyDescent="0.25">
      <c r="A7" s="2"/>
      <c r="B7" s="60"/>
      <c r="C7" s="60"/>
      <c r="D7" s="60"/>
      <c r="E7" s="60"/>
      <c r="F7" s="60"/>
      <c r="G7" s="60"/>
      <c r="H7" s="60"/>
    </row>
    <row r="8" spans="1:8" x14ac:dyDescent="0.25">
      <c r="A8" s="2"/>
      <c r="B8" s="60"/>
      <c r="C8" s="60"/>
      <c r="D8" s="60"/>
      <c r="E8" s="60"/>
      <c r="F8" s="60"/>
      <c r="G8" s="60"/>
      <c r="H8" s="60"/>
    </row>
    <row r="9" spans="1:8" x14ac:dyDescent="0.25">
      <c r="A9" s="2"/>
      <c r="B9" s="60"/>
      <c r="C9" s="60"/>
      <c r="D9" s="60"/>
      <c r="E9" s="60"/>
      <c r="F9" s="60"/>
      <c r="G9" s="60"/>
      <c r="H9" s="60"/>
    </row>
    <row r="10" spans="1:8" x14ac:dyDescent="0.25">
      <c r="A10" s="2"/>
      <c r="B10" s="60"/>
      <c r="C10" s="60"/>
      <c r="D10" s="60"/>
      <c r="E10" s="60"/>
      <c r="F10" s="60"/>
      <c r="G10" s="60"/>
      <c r="H10" s="60"/>
    </row>
    <row r="11" spans="1:8" x14ac:dyDescent="0.25">
      <c r="A11" s="2"/>
      <c r="B11" s="60"/>
      <c r="C11" s="60"/>
      <c r="D11" s="60"/>
      <c r="E11" s="60"/>
      <c r="F11" s="60"/>
      <c r="G11" s="60"/>
      <c r="H11" s="60"/>
    </row>
    <row r="12" spans="1:8" x14ac:dyDescent="0.25">
      <c r="A12" s="2"/>
      <c r="B12" s="60"/>
      <c r="C12" s="60"/>
      <c r="D12" s="60"/>
      <c r="E12" s="60"/>
      <c r="F12" s="60"/>
      <c r="G12" s="60"/>
      <c r="H12" s="60"/>
    </row>
    <row r="13" spans="1:8" x14ac:dyDescent="0.25">
      <c r="A13" s="2"/>
      <c r="B13" s="60"/>
      <c r="C13" s="60"/>
      <c r="D13" s="60"/>
      <c r="E13" s="60"/>
      <c r="F13" s="60"/>
      <c r="G13" s="60"/>
      <c r="H13" s="60"/>
    </row>
    <row r="14" spans="1:8" x14ac:dyDescent="0.25">
      <c r="A14" s="2"/>
      <c r="B14" s="60"/>
      <c r="C14" s="60"/>
      <c r="D14" s="60"/>
      <c r="E14" s="60"/>
      <c r="F14" s="60"/>
      <c r="G14" s="60"/>
      <c r="H14" s="60"/>
    </row>
    <row r="15" spans="1:8" x14ac:dyDescent="0.25">
      <c r="A15" s="2"/>
      <c r="B15" s="60"/>
      <c r="C15" s="60"/>
      <c r="D15" s="60"/>
      <c r="E15" s="60"/>
      <c r="F15" s="60"/>
      <c r="G15" s="60"/>
      <c r="H15" s="60"/>
    </row>
    <row r="16" spans="1:8" x14ac:dyDescent="0.25">
      <c r="A16" s="2"/>
      <c r="B16" s="60"/>
      <c r="C16" s="60"/>
      <c r="D16" s="60"/>
      <c r="E16" s="60"/>
      <c r="F16" s="60"/>
      <c r="G16" s="60"/>
      <c r="H16" s="60"/>
    </row>
    <row r="17" spans="1:8" x14ac:dyDescent="0.25">
      <c r="A17" s="2"/>
      <c r="B17" s="60"/>
      <c r="C17" s="60"/>
      <c r="D17" s="60"/>
      <c r="E17" s="60"/>
      <c r="F17" s="60"/>
      <c r="G17" s="60"/>
      <c r="H17" s="60"/>
    </row>
    <row r="18" spans="1:8" x14ac:dyDescent="0.25">
      <c r="A18" s="2"/>
      <c r="B18" s="60"/>
      <c r="C18" s="60"/>
      <c r="D18" s="60"/>
      <c r="E18" s="60"/>
      <c r="F18" s="60"/>
      <c r="G18" s="60"/>
      <c r="H18" s="60"/>
    </row>
    <row r="19" spans="1:8" x14ac:dyDescent="0.25">
      <c r="A19" s="2"/>
      <c r="B19" s="60"/>
      <c r="C19" s="60"/>
      <c r="D19" s="60"/>
      <c r="E19" s="60"/>
      <c r="F19" s="60"/>
      <c r="G19" s="60"/>
      <c r="H19" s="60"/>
    </row>
    <row r="20" spans="1:8" x14ac:dyDescent="0.25">
      <c r="A20" s="2"/>
    </row>
    <row r="21" spans="1:8" x14ac:dyDescent="0.25">
      <c r="A21" s="2"/>
    </row>
    <row r="22" spans="1:8" x14ac:dyDescent="0.25">
      <c r="A22" s="2"/>
    </row>
  </sheetData>
  <mergeCells count="1">
    <mergeCell ref="B3:H3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AF13"/>
  <sheetViews>
    <sheetView showGridLines="0"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F12" sqref="AF12"/>
    </sheetView>
  </sheetViews>
  <sheetFormatPr baseColWidth="10" defaultRowHeight="15" x14ac:dyDescent="0.25"/>
  <cols>
    <col min="1" max="1" width="2.5703125" customWidth="1"/>
    <col min="2" max="2" width="17.140625" style="2" customWidth="1"/>
    <col min="3" max="3" width="19.5703125" style="2" customWidth="1"/>
    <col min="4" max="8" width="17.140625" style="2" customWidth="1"/>
    <col min="9" max="9" width="21.28515625" style="2" customWidth="1"/>
    <col min="10" max="11" width="17.140625" style="2" customWidth="1"/>
    <col min="12" max="12" width="17.42578125" style="2" customWidth="1"/>
    <col min="13" max="13" width="19.42578125" style="2" customWidth="1"/>
    <col min="14" max="14" width="19.85546875" style="2" customWidth="1"/>
    <col min="15" max="15" width="22" style="2" customWidth="1"/>
    <col min="16" max="17" width="23.7109375" style="2" customWidth="1"/>
    <col min="18" max="18" width="28.7109375" style="2" customWidth="1"/>
    <col min="19" max="19" width="32.140625" style="2" customWidth="1"/>
    <col min="20" max="20" width="33.5703125" style="2" customWidth="1"/>
    <col min="21" max="21" width="21.85546875" style="2" customWidth="1"/>
    <col min="22" max="22" width="29.42578125" style="62" customWidth="1"/>
    <col min="23" max="23" width="22.85546875" style="2" customWidth="1"/>
    <col min="24" max="24" width="17.140625" style="2" customWidth="1"/>
    <col min="25" max="25" width="26.28515625" style="2" customWidth="1"/>
    <col min="26" max="26" width="23" style="60" customWidth="1"/>
    <col min="27" max="27" width="27.28515625" style="2" customWidth="1"/>
    <col min="28" max="28" width="33.5703125" style="2" customWidth="1"/>
    <col min="29" max="29" width="18.85546875" style="2" customWidth="1"/>
    <col min="30" max="30" width="19.7109375" style="2" customWidth="1"/>
    <col min="31" max="31" width="17.7109375" style="2" customWidth="1"/>
    <col min="32" max="32" width="21.140625" style="2" customWidth="1"/>
  </cols>
  <sheetData>
    <row r="1" spans="2:32" s="4" customFormat="1" ht="38.25" customHeight="1" x14ac:dyDescent="0.25">
      <c r="B1" s="3" t="s">
        <v>6</v>
      </c>
      <c r="Z1" s="50"/>
      <c r="AA1" s="50"/>
      <c r="AB1" s="50"/>
    </row>
    <row r="2" spans="2:32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</row>
    <row r="3" spans="2:32" x14ac:dyDescent="0.25">
      <c r="B3" s="71" t="s">
        <v>3</v>
      </c>
      <c r="C3" s="72"/>
      <c r="D3" s="72"/>
      <c r="E3" s="72"/>
      <c r="F3" s="72"/>
      <c r="G3" s="72"/>
      <c r="H3" s="72"/>
      <c r="I3" s="72"/>
      <c r="J3" s="72"/>
      <c r="K3" s="72"/>
      <c r="L3" s="73"/>
      <c r="M3" s="77" t="s">
        <v>182</v>
      </c>
      <c r="N3" s="78"/>
      <c r="O3" s="78"/>
      <c r="P3" s="72" t="s">
        <v>183</v>
      </c>
      <c r="Q3" s="72"/>
      <c r="R3" s="72"/>
      <c r="S3" s="72"/>
      <c r="T3" s="72"/>
      <c r="U3" s="72"/>
      <c r="V3" s="73"/>
      <c r="W3" s="74" t="s">
        <v>89</v>
      </c>
      <c r="X3" s="75"/>
      <c r="Y3" s="75"/>
      <c r="Z3" s="75"/>
      <c r="AA3" s="75"/>
      <c r="AB3" s="76"/>
      <c r="AC3" s="71" t="s">
        <v>4</v>
      </c>
      <c r="AD3" s="72"/>
      <c r="AE3" s="74" t="s">
        <v>5</v>
      </c>
      <c r="AF3" s="76"/>
    </row>
    <row r="4" spans="2:32" ht="24.75" customHeight="1" x14ac:dyDescent="0.25">
      <c r="B4" s="59" t="s">
        <v>13</v>
      </c>
      <c r="C4" s="59" t="s">
        <v>0</v>
      </c>
      <c r="D4" s="59" t="s">
        <v>1</v>
      </c>
      <c r="E4" s="59" t="s">
        <v>2</v>
      </c>
      <c r="F4" s="59" t="s">
        <v>14</v>
      </c>
      <c r="G4" s="59" t="s">
        <v>15</v>
      </c>
      <c r="H4" s="59" t="s">
        <v>16</v>
      </c>
      <c r="I4" s="59" t="s">
        <v>17</v>
      </c>
      <c r="J4" s="59" t="s">
        <v>18</v>
      </c>
      <c r="K4" s="59" t="s">
        <v>19</v>
      </c>
      <c r="L4" s="59" t="s">
        <v>20</v>
      </c>
      <c r="M4" s="59" t="s">
        <v>114</v>
      </c>
      <c r="N4" s="59" t="s">
        <v>121</v>
      </c>
      <c r="O4" s="59" t="s">
        <v>124</v>
      </c>
      <c r="P4" s="59" t="s">
        <v>132</v>
      </c>
      <c r="Q4" s="59" t="s">
        <v>186</v>
      </c>
      <c r="R4" s="59" t="s">
        <v>187</v>
      </c>
      <c r="S4" s="59" t="s">
        <v>180</v>
      </c>
      <c r="T4" s="59" t="s">
        <v>181</v>
      </c>
      <c r="U4" s="61" t="s">
        <v>128</v>
      </c>
      <c r="V4" s="61" t="s">
        <v>134</v>
      </c>
      <c r="W4" s="59" t="s">
        <v>185</v>
      </c>
      <c r="X4" s="59" t="s">
        <v>138</v>
      </c>
      <c r="Y4" s="59" t="s">
        <v>141</v>
      </c>
      <c r="Z4" s="61" t="s">
        <v>144</v>
      </c>
      <c r="AA4" s="61" t="s">
        <v>154</v>
      </c>
      <c r="AB4" s="61" t="s">
        <v>156</v>
      </c>
      <c r="AC4" s="59" t="s">
        <v>116</v>
      </c>
      <c r="AD4" s="59" t="s">
        <v>179</v>
      </c>
      <c r="AE4" s="59" t="s">
        <v>147</v>
      </c>
      <c r="AF4" s="59" t="s">
        <v>151</v>
      </c>
    </row>
    <row r="5" spans="2:32" x14ac:dyDescent="0.25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AA5" s="60"/>
      <c r="AB5" s="60"/>
      <c r="AC5" s="60"/>
      <c r="AD5" s="60"/>
      <c r="AE5" s="60"/>
      <c r="AF5" s="60"/>
    </row>
    <row r="6" spans="2:32" x14ac:dyDescent="0.25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AA6" s="60"/>
      <c r="AB6" s="60"/>
      <c r="AC6" s="60"/>
      <c r="AD6" s="60"/>
      <c r="AE6" s="60"/>
      <c r="AF6" s="60"/>
    </row>
    <row r="7" spans="2:32" x14ac:dyDescent="0.25"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AA7" s="60"/>
      <c r="AB7" s="60"/>
      <c r="AC7" s="60"/>
      <c r="AD7" s="60"/>
      <c r="AE7" s="60"/>
      <c r="AF7" s="60"/>
    </row>
    <row r="8" spans="2:32" x14ac:dyDescent="0.25"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AA8" s="60"/>
      <c r="AB8" s="60"/>
      <c r="AC8" s="60"/>
      <c r="AD8" s="60"/>
      <c r="AE8" s="60"/>
      <c r="AF8" s="60"/>
    </row>
    <row r="9" spans="2:32" x14ac:dyDescent="0.25"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AA9" s="60"/>
      <c r="AB9" s="60"/>
      <c r="AC9" s="60"/>
      <c r="AD9" s="60"/>
      <c r="AE9" s="60"/>
      <c r="AF9" s="60"/>
    </row>
    <row r="10" spans="2:32" x14ac:dyDescent="0.25"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AA10" s="60"/>
      <c r="AB10" s="60"/>
      <c r="AC10" s="60"/>
      <c r="AD10" s="60"/>
      <c r="AE10" s="60"/>
      <c r="AF10" s="60"/>
    </row>
    <row r="13" spans="2:32" x14ac:dyDescent="0.25">
      <c r="F13" s="63"/>
    </row>
  </sheetData>
  <mergeCells count="6">
    <mergeCell ref="B3:L3"/>
    <mergeCell ref="W3:AB3"/>
    <mergeCell ref="AE3:AF3"/>
    <mergeCell ref="AC3:AD3"/>
    <mergeCell ref="M3:O3"/>
    <mergeCell ref="P3:V3"/>
  </mergeCells>
  <dataValidations disablePrompts="1" count="3">
    <dataValidation type="list" allowBlank="1" showInputMessage="1" showErrorMessage="1" sqref="X5:X6">
      <formula1>"MW,Fiber,VSAT"</formula1>
    </dataValidation>
    <dataValidation type="list" allowBlank="1" showInputMessage="1" showErrorMessage="1" sqref="Y5:Y6">
      <formula1>"Backhaul Config 1,Backhaul Config 2,Backhaul Config 3,Backhaul Config 4"</formula1>
    </dataValidation>
    <dataValidation type="list" allowBlank="1" showInputMessage="1" showErrorMessage="1" sqref="N5:N6">
      <formula1>"RAN Config 1,RAN Config 2,RAN Config 3,None"</formula1>
    </dataValidation>
  </dataValidation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E24"/>
  <sheetViews>
    <sheetView showGridLines="0" workbookViewId="0">
      <selection activeCell="E20" sqref="E20"/>
    </sheetView>
  </sheetViews>
  <sheetFormatPr baseColWidth="10" defaultColWidth="9.140625" defaultRowHeight="15" x14ac:dyDescent="0.25"/>
  <cols>
    <col min="1" max="1" width="4.7109375" customWidth="1"/>
    <col min="2" max="2" width="32.85546875" bestFit="1" customWidth="1"/>
    <col min="3" max="3" width="38.85546875" customWidth="1"/>
    <col min="4" max="4" width="9.5703125" style="1" customWidth="1"/>
    <col min="5" max="5" width="33.85546875" customWidth="1"/>
  </cols>
  <sheetData>
    <row r="2" spans="2:5" x14ac:dyDescent="0.25">
      <c r="B2" s="51" t="s">
        <v>104</v>
      </c>
      <c r="C2" s="51" t="s">
        <v>105</v>
      </c>
      <c r="D2" s="51" t="s">
        <v>106</v>
      </c>
      <c r="E2" s="51" t="s">
        <v>107</v>
      </c>
    </row>
    <row r="3" spans="2:5" x14ac:dyDescent="0.25">
      <c r="B3" s="52" t="s">
        <v>13</v>
      </c>
      <c r="C3" s="53"/>
      <c r="D3" s="54"/>
      <c r="E3" s="55"/>
    </row>
    <row r="4" spans="2:5" ht="30" x14ac:dyDescent="0.25">
      <c r="B4" s="52" t="s">
        <v>14</v>
      </c>
      <c r="C4" s="53" t="s">
        <v>108</v>
      </c>
      <c r="D4" s="54"/>
      <c r="E4" s="55" t="s">
        <v>109</v>
      </c>
    </row>
    <row r="5" spans="2:5" ht="30" x14ac:dyDescent="0.25">
      <c r="B5" s="52" t="s">
        <v>15</v>
      </c>
      <c r="C5" s="53" t="s">
        <v>110</v>
      </c>
      <c r="D5" s="56"/>
      <c r="E5" s="53" t="s">
        <v>111</v>
      </c>
    </row>
    <row r="6" spans="2:5" ht="30" x14ac:dyDescent="0.25">
      <c r="B6" s="52" t="s">
        <v>16</v>
      </c>
      <c r="C6" s="53" t="s">
        <v>112</v>
      </c>
      <c r="D6" s="56" t="s">
        <v>52</v>
      </c>
      <c r="E6" s="53" t="s">
        <v>113</v>
      </c>
    </row>
    <row r="7" spans="2:5" ht="30" x14ac:dyDescent="0.25">
      <c r="B7" s="52" t="s">
        <v>114</v>
      </c>
      <c r="C7" s="53" t="s">
        <v>115</v>
      </c>
      <c r="D7" s="56" t="s">
        <v>52</v>
      </c>
      <c r="E7" s="53" t="s">
        <v>113</v>
      </c>
    </row>
    <row r="8" spans="2:5" ht="30" x14ac:dyDescent="0.25">
      <c r="B8" s="52" t="s">
        <v>116</v>
      </c>
      <c r="C8" s="53" t="s">
        <v>117</v>
      </c>
      <c r="D8" s="56" t="s">
        <v>52</v>
      </c>
      <c r="E8" s="53" t="s">
        <v>113</v>
      </c>
    </row>
    <row r="9" spans="2:5" ht="60" x14ac:dyDescent="0.25">
      <c r="B9" s="52" t="s">
        <v>17</v>
      </c>
      <c r="C9" s="53" t="s">
        <v>118</v>
      </c>
      <c r="D9" s="54"/>
      <c r="E9" s="55" t="s">
        <v>119</v>
      </c>
    </row>
    <row r="10" spans="2:5" ht="30" x14ac:dyDescent="0.25">
      <c r="B10" s="52" t="s">
        <v>18</v>
      </c>
      <c r="C10" s="53" t="s">
        <v>120</v>
      </c>
      <c r="D10" s="54"/>
      <c r="E10" s="55" t="s">
        <v>109</v>
      </c>
    </row>
    <row r="11" spans="2:5" ht="90" x14ac:dyDescent="0.25">
      <c r="B11" s="52" t="s">
        <v>121</v>
      </c>
      <c r="C11" s="53" t="s">
        <v>122</v>
      </c>
      <c r="D11" s="56"/>
      <c r="E11" s="53" t="s">
        <v>123</v>
      </c>
    </row>
    <row r="12" spans="2:5" ht="30" x14ac:dyDescent="0.25">
      <c r="B12" s="52" t="s">
        <v>124</v>
      </c>
      <c r="C12" s="53" t="s">
        <v>125</v>
      </c>
      <c r="D12" s="56" t="s">
        <v>126</v>
      </c>
      <c r="E12" s="53" t="s">
        <v>127</v>
      </c>
    </row>
    <row r="13" spans="2:5" ht="30" x14ac:dyDescent="0.25">
      <c r="B13" s="52" t="s">
        <v>128</v>
      </c>
      <c r="C13" s="53" t="s">
        <v>129</v>
      </c>
      <c r="D13" s="54" t="s">
        <v>130</v>
      </c>
      <c r="E13" s="55" t="s">
        <v>131</v>
      </c>
    </row>
    <row r="14" spans="2:5" ht="30" x14ac:dyDescent="0.25">
      <c r="B14" s="52" t="s">
        <v>132</v>
      </c>
      <c r="C14" s="53" t="s">
        <v>133</v>
      </c>
      <c r="D14" s="54" t="s">
        <v>130</v>
      </c>
      <c r="E14" s="55" t="s">
        <v>131</v>
      </c>
    </row>
    <row r="15" spans="2:5" ht="30" x14ac:dyDescent="0.25">
      <c r="B15" s="52" t="s">
        <v>134</v>
      </c>
      <c r="C15" s="53" t="s">
        <v>135</v>
      </c>
      <c r="D15" s="54" t="s">
        <v>136</v>
      </c>
      <c r="E15" s="55" t="s">
        <v>137</v>
      </c>
    </row>
    <row r="16" spans="2:5" ht="30" x14ac:dyDescent="0.25">
      <c r="B16" s="52" t="s">
        <v>138</v>
      </c>
      <c r="C16" s="53" t="s">
        <v>139</v>
      </c>
      <c r="D16" s="56"/>
      <c r="E16" s="53" t="s">
        <v>140</v>
      </c>
    </row>
    <row r="17" spans="2:5" ht="75" x14ac:dyDescent="0.25">
      <c r="B17" s="52" t="s">
        <v>141</v>
      </c>
      <c r="C17" s="53" t="s">
        <v>142</v>
      </c>
      <c r="D17" s="56"/>
      <c r="E17" s="53" t="s">
        <v>143</v>
      </c>
    </row>
    <row r="18" spans="2:5" ht="30" x14ac:dyDescent="0.25">
      <c r="B18" s="52" t="s">
        <v>144</v>
      </c>
      <c r="C18" s="53" t="s">
        <v>145</v>
      </c>
      <c r="D18" s="54" t="s">
        <v>130</v>
      </c>
      <c r="E18" s="55" t="s">
        <v>146</v>
      </c>
    </row>
    <row r="19" spans="2:5" ht="45" x14ac:dyDescent="0.25">
      <c r="B19" s="52" t="s">
        <v>147</v>
      </c>
      <c r="C19" s="53" t="s">
        <v>148</v>
      </c>
      <c r="D19" s="54" t="s">
        <v>149</v>
      </c>
      <c r="E19" s="55" t="s">
        <v>150</v>
      </c>
    </row>
    <row r="20" spans="2:5" x14ac:dyDescent="0.25">
      <c r="B20" s="52" t="s">
        <v>151</v>
      </c>
      <c r="C20" s="53" t="s">
        <v>152</v>
      </c>
      <c r="D20" s="54"/>
      <c r="E20" s="55" t="s">
        <v>153</v>
      </c>
    </row>
    <row r="21" spans="2:5" ht="30" x14ac:dyDescent="0.25">
      <c r="B21" s="52" t="s">
        <v>154</v>
      </c>
      <c r="C21" s="53" t="s">
        <v>155</v>
      </c>
      <c r="D21" s="54" t="s">
        <v>54</v>
      </c>
      <c r="E21" s="55"/>
    </row>
    <row r="22" spans="2:5" ht="45" x14ac:dyDescent="0.25">
      <c r="B22" s="52" t="s">
        <v>156</v>
      </c>
      <c r="C22" s="53" t="s">
        <v>157</v>
      </c>
      <c r="D22" s="54" t="s">
        <v>54</v>
      </c>
      <c r="E22" s="55"/>
    </row>
    <row r="23" spans="2:5" x14ac:dyDescent="0.25">
      <c r="B23" s="52" t="s">
        <v>19</v>
      </c>
      <c r="C23" s="53" t="s">
        <v>158</v>
      </c>
      <c r="D23" s="56"/>
      <c r="E23" s="53" t="s">
        <v>159</v>
      </c>
    </row>
    <row r="24" spans="2:5" ht="30" x14ac:dyDescent="0.25">
      <c r="B24" s="52" t="s">
        <v>20</v>
      </c>
      <c r="C24" s="53" t="s">
        <v>160</v>
      </c>
      <c r="D24" s="54" t="s">
        <v>161</v>
      </c>
      <c r="E24" s="55" t="s">
        <v>162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O118"/>
  <sheetViews>
    <sheetView showGridLines="0" zoomScale="90" zoomScaleNormal="90" workbookViewId="0">
      <selection activeCell="J15" sqref="J15"/>
    </sheetView>
  </sheetViews>
  <sheetFormatPr baseColWidth="10" defaultColWidth="9.140625" defaultRowHeight="14.25" outlineLevelRow="1" x14ac:dyDescent="0.25"/>
  <cols>
    <col min="1" max="1" width="4.7109375" style="21" customWidth="1"/>
    <col min="2" max="2" width="24.5703125" style="21" bestFit="1" customWidth="1"/>
    <col min="3" max="3" width="25.5703125" style="21" customWidth="1"/>
    <col min="4" max="4" width="19" style="21" customWidth="1"/>
    <col min="5" max="29" width="12.7109375" style="21" customWidth="1"/>
    <col min="30" max="16384" width="9.140625" style="21"/>
  </cols>
  <sheetData>
    <row r="2" spans="2:15" ht="15.75" thickBot="1" x14ac:dyDescent="0.3">
      <c r="B2" s="19" t="s">
        <v>21</v>
      </c>
      <c r="C2" s="20"/>
      <c r="D2" s="20"/>
      <c r="E2" s="20"/>
      <c r="F2" s="20"/>
      <c r="G2" s="20"/>
      <c r="H2" s="20"/>
      <c r="I2"/>
      <c r="J2"/>
      <c r="K2"/>
      <c r="L2"/>
      <c r="M2"/>
      <c r="N2"/>
      <c r="O2"/>
    </row>
    <row r="3" spans="2:15" ht="15" thickBot="1" x14ac:dyDescent="0.3"/>
    <row r="4" spans="2:15" ht="15" outlineLevel="1" x14ac:dyDescent="0.25">
      <c r="B4" s="82" t="s">
        <v>25</v>
      </c>
      <c r="C4" s="83"/>
      <c r="D4" s="83"/>
      <c r="E4" s="83"/>
      <c r="F4" s="83"/>
      <c r="G4" s="84"/>
      <c r="H4"/>
    </row>
    <row r="5" spans="2:15" ht="15" outlineLevel="1" x14ac:dyDescent="0.25">
      <c r="B5" s="22"/>
      <c r="C5" s="23"/>
      <c r="D5" s="23"/>
      <c r="E5" s="23"/>
      <c r="F5" s="23"/>
      <c r="G5" s="24"/>
      <c r="H5"/>
    </row>
    <row r="6" spans="2:15" ht="15" outlineLevel="1" x14ac:dyDescent="0.25">
      <c r="B6" s="25" t="s">
        <v>23</v>
      </c>
      <c r="C6" s="26">
        <v>2500</v>
      </c>
      <c r="D6" s="27" t="s">
        <v>26</v>
      </c>
      <c r="E6" s="2"/>
      <c r="F6" s="23"/>
      <c r="G6" s="24"/>
    </row>
    <row r="7" spans="2:15" outlineLevel="1" x14ac:dyDescent="0.25">
      <c r="B7" s="25" t="s">
        <v>22</v>
      </c>
      <c r="C7" s="26">
        <v>20</v>
      </c>
      <c r="D7" s="27" t="s">
        <v>26</v>
      </c>
      <c r="E7" s="23"/>
      <c r="F7" s="23"/>
      <c r="G7" s="24"/>
    </row>
    <row r="8" spans="2:15" outlineLevel="1" x14ac:dyDescent="0.25">
      <c r="B8" s="25" t="s">
        <v>27</v>
      </c>
      <c r="C8" s="26">
        <v>1</v>
      </c>
      <c r="D8" s="27"/>
      <c r="E8" s="23"/>
      <c r="F8" s="23"/>
      <c r="G8" s="24"/>
    </row>
    <row r="9" spans="2:15" outlineLevel="1" x14ac:dyDescent="0.25">
      <c r="B9" s="25" t="s">
        <v>28</v>
      </c>
      <c r="C9" s="26">
        <v>10</v>
      </c>
      <c r="D9" s="27" t="s">
        <v>29</v>
      </c>
      <c r="E9" s="23"/>
      <c r="F9" s="23"/>
      <c r="G9" s="24"/>
    </row>
    <row r="10" spans="2:15" outlineLevel="1" x14ac:dyDescent="0.25">
      <c r="B10" s="22"/>
      <c r="C10" s="23"/>
      <c r="D10" s="23"/>
      <c r="E10" s="23"/>
      <c r="F10" s="23"/>
      <c r="G10" s="24"/>
    </row>
    <row r="11" spans="2:15" outlineLevel="1" x14ac:dyDescent="0.25">
      <c r="B11" s="28" t="s">
        <v>30</v>
      </c>
      <c r="C11" s="29" t="s">
        <v>31</v>
      </c>
      <c r="D11" s="29" t="s">
        <v>32</v>
      </c>
      <c r="E11" s="29" t="s">
        <v>33</v>
      </c>
      <c r="F11" s="29" t="s">
        <v>34</v>
      </c>
      <c r="G11" s="30" t="s">
        <v>35</v>
      </c>
    </row>
    <row r="12" spans="2:15" outlineLevel="1" x14ac:dyDescent="0.25">
      <c r="B12" s="31" t="s">
        <v>36</v>
      </c>
      <c r="C12" s="32"/>
      <c r="D12" s="32"/>
      <c r="E12" s="33">
        <v>1</v>
      </c>
      <c r="F12" s="34">
        <v>5000</v>
      </c>
      <c r="G12" s="35">
        <f>E12*F12</f>
        <v>5000</v>
      </c>
    </row>
    <row r="13" spans="2:15" outlineLevel="1" x14ac:dyDescent="0.25">
      <c r="B13" s="31" t="s">
        <v>37</v>
      </c>
      <c r="C13" s="32"/>
      <c r="D13" s="32"/>
      <c r="E13" s="33"/>
      <c r="F13" s="34"/>
      <c r="G13" s="35">
        <f t="shared" ref="G13:G16" si="0">E13*F13</f>
        <v>0</v>
      </c>
    </row>
    <row r="14" spans="2:15" outlineLevel="1" x14ac:dyDescent="0.25">
      <c r="B14" s="31" t="s">
        <v>38</v>
      </c>
      <c r="C14" s="32"/>
      <c r="D14" s="32"/>
      <c r="E14" s="33"/>
      <c r="F14" s="34"/>
      <c r="G14" s="35">
        <f t="shared" si="0"/>
        <v>0</v>
      </c>
    </row>
    <row r="15" spans="2:15" outlineLevel="1" x14ac:dyDescent="0.25">
      <c r="B15" s="31" t="s">
        <v>39</v>
      </c>
      <c r="C15" s="32"/>
      <c r="D15" s="32"/>
      <c r="E15" s="33">
        <v>1</v>
      </c>
      <c r="F15" s="34">
        <v>250</v>
      </c>
      <c r="G15" s="35">
        <f t="shared" si="0"/>
        <v>250</v>
      </c>
    </row>
    <row r="16" spans="2:15" outlineLevel="1" x14ac:dyDescent="0.25">
      <c r="B16" s="31" t="s">
        <v>40</v>
      </c>
      <c r="C16" s="32"/>
      <c r="D16" s="32"/>
      <c r="E16" s="33">
        <v>1</v>
      </c>
      <c r="F16" s="34">
        <v>200</v>
      </c>
      <c r="G16" s="35">
        <f t="shared" si="0"/>
        <v>200</v>
      </c>
    </row>
    <row r="17" spans="2:8" ht="15.75" customHeight="1" outlineLevel="1" thickBot="1" x14ac:dyDescent="0.3">
      <c r="B17" s="79" t="s">
        <v>41</v>
      </c>
      <c r="C17" s="80"/>
      <c r="D17" s="80"/>
      <c r="E17" s="80"/>
      <c r="F17" s="81"/>
      <c r="G17" s="36">
        <f>SUM(G12:G16)</f>
        <v>5450</v>
      </c>
    </row>
    <row r="18" spans="2:8" ht="15" outlineLevel="1" thickBot="1" x14ac:dyDescent="0.3">
      <c r="B18" s="23"/>
      <c r="C18" s="23"/>
      <c r="D18" s="23"/>
      <c r="E18" s="23"/>
      <c r="F18" s="23"/>
      <c r="G18" s="23"/>
    </row>
    <row r="19" spans="2:8" ht="15" outlineLevel="1" x14ac:dyDescent="0.25">
      <c r="B19" s="82" t="s">
        <v>42</v>
      </c>
      <c r="C19" s="83"/>
      <c r="D19" s="83"/>
      <c r="E19" s="83"/>
      <c r="F19" s="83"/>
      <c r="G19" s="84"/>
      <c r="H19"/>
    </row>
    <row r="20" spans="2:8" ht="15" outlineLevel="1" x14ac:dyDescent="0.25">
      <c r="B20" s="22"/>
      <c r="C20" s="23"/>
      <c r="D20" s="23"/>
      <c r="E20" s="23"/>
      <c r="F20" s="23"/>
      <c r="G20" s="24"/>
      <c r="H20"/>
    </row>
    <row r="21" spans="2:8" ht="15" outlineLevel="1" x14ac:dyDescent="0.25">
      <c r="B21" s="25" t="s">
        <v>23</v>
      </c>
      <c r="C21" s="26">
        <v>2500</v>
      </c>
      <c r="D21" s="27" t="s">
        <v>26</v>
      </c>
      <c r="E21" s="2"/>
      <c r="F21" s="23"/>
      <c r="G21" s="24"/>
    </row>
    <row r="22" spans="2:8" outlineLevel="1" x14ac:dyDescent="0.25">
      <c r="B22" s="25" t="s">
        <v>22</v>
      </c>
      <c r="C22" s="26">
        <v>20</v>
      </c>
      <c r="D22" s="27" t="s">
        <v>26</v>
      </c>
      <c r="E22" s="23"/>
      <c r="F22" s="23"/>
      <c r="G22" s="24"/>
    </row>
    <row r="23" spans="2:8" outlineLevel="1" x14ac:dyDescent="0.25">
      <c r="B23" s="25" t="s">
        <v>27</v>
      </c>
      <c r="C23" s="26">
        <v>3</v>
      </c>
      <c r="D23" s="27"/>
      <c r="E23" s="23"/>
      <c r="F23" s="23"/>
      <c r="G23" s="24"/>
    </row>
    <row r="24" spans="2:8" outlineLevel="1" x14ac:dyDescent="0.25">
      <c r="B24" s="25" t="s">
        <v>28</v>
      </c>
      <c r="C24" s="26">
        <v>10</v>
      </c>
      <c r="D24" s="27" t="s">
        <v>29</v>
      </c>
      <c r="E24" s="23"/>
      <c r="F24" s="23"/>
      <c r="G24" s="24"/>
    </row>
    <row r="25" spans="2:8" outlineLevel="1" x14ac:dyDescent="0.25">
      <c r="B25" s="22"/>
      <c r="C25" s="23"/>
      <c r="D25" s="23"/>
      <c r="E25" s="23"/>
      <c r="F25" s="23"/>
      <c r="G25" s="24"/>
    </row>
    <row r="26" spans="2:8" outlineLevel="1" x14ac:dyDescent="0.25">
      <c r="B26" s="28" t="s">
        <v>30</v>
      </c>
      <c r="C26" s="29" t="s">
        <v>31</v>
      </c>
      <c r="D26" s="29" t="s">
        <v>32</v>
      </c>
      <c r="E26" s="29" t="s">
        <v>33</v>
      </c>
      <c r="F26" s="29" t="s">
        <v>34</v>
      </c>
      <c r="G26" s="30" t="s">
        <v>35</v>
      </c>
    </row>
    <row r="27" spans="2:8" outlineLevel="1" x14ac:dyDescent="0.25">
      <c r="B27" s="31" t="s">
        <v>36</v>
      </c>
      <c r="C27" s="32"/>
      <c r="D27" s="32"/>
      <c r="E27" s="33">
        <v>3</v>
      </c>
      <c r="F27" s="34">
        <v>5000</v>
      </c>
      <c r="G27" s="35">
        <f>E27*F27</f>
        <v>15000</v>
      </c>
    </row>
    <row r="28" spans="2:8" outlineLevel="1" x14ac:dyDescent="0.25">
      <c r="B28" s="31" t="s">
        <v>37</v>
      </c>
      <c r="C28" s="32"/>
      <c r="D28" s="32"/>
      <c r="E28" s="33"/>
      <c r="F28" s="34"/>
      <c r="G28" s="35">
        <f t="shared" ref="G28:G31" si="1">E28*F28</f>
        <v>0</v>
      </c>
    </row>
    <row r="29" spans="2:8" outlineLevel="1" x14ac:dyDescent="0.25">
      <c r="B29" s="31" t="s">
        <v>38</v>
      </c>
      <c r="C29" s="32"/>
      <c r="D29" s="32"/>
      <c r="E29" s="33"/>
      <c r="F29" s="34"/>
      <c r="G29" s="35">
        <f t="shared" si="1"/>
        <v>0</v>
      </c>
    </row>
    <row r="30" spans="2:8" outlineLevel="1" x14ac:dyDescent="0.25">
      <c r="B30" s="31" t="s">
        <v>39</v>
      </c>
      <c r="C30" s="32"/>
      <c r="D30" s="32"/>
      <c r="E30" s="33">
        <v>3</v>
      </c>
      <c r="F30" s="34">
        <v>250</v>
      </c>
      <c r="G30" s="35">
        <f t="shared" si="1"/>
        <v>750</v>
      </c>
    </row>
    <row r="31" spans="2:8" outlineLevel="1" x14ac:dyDescent="0.25">
      <c r="B31" s="31" t="s">
        <v>40</v>
      </c>
      <c r="C31" s="32"/>
      <c r="D31" s="32"/>
      <c r="E31" s="33">
        <v>1</v>
      </c>
      <c r="F31" s="34">
        <v>200</v>
      </c>
      <c r="G31" s="35">
        <f t="shared" si="1"/>
        <v>200</v>
      </c>
    </row>
    <row r="32" spans="2:8" ht="15.75" customHeight="1" outlineLevel="1" thickBot="1" x14ac:dyDescent="0.3">
      <c r="B32" s="79" t="s">
        <v>41</v>
      </c>
      <c r="C32" s="80"/>
      <c r="D32" s="80"/>
      <c r="E32" s="80"/>
      <c r="F32" s="81"/>
      <c r="G32" s="36">
        <f>SUM(G27:G31)</f>
        <v>15950</v>
      </c>
    </row>
    <row r="33" spans="2:8" ht="15" outlineLevel="1" thickBot="1" x14ac:dyDescent="0.3">
      <c r="B33" s="23"/>
      <c r="C33" s="23"/>
      <c r="D33" s="23"/>
      <c r="E33" s="23"/>
      <c r="F33" s="23"/>
      <c r="G33" s="23"/>
    </row>
    <row r="34" spans="2:8" ht="15" outlineLevel="1" x14ac:dyDescent="0.25">
      <c r="B34" s="82" t="s">
        <v>43</v>
      </c>
      <c r="C34" s="83"/>
      <c r="D34" s="83"/>
      <c r="E34" s="83"/>
      <c r="F34" s="83"/>
      <c r="G34" s="84"/>
      <c r="H34"/>
    </row>
    <row r="35" spans="2:8" ht="15" outlineLevel="1" x14ac:dyDescent="0.25">
      <c r="B35" s="22"/>
      <c r="C35" s="23"/>
      <c r="D35" s="23"/>
      <c r="E35" s="23"/>
      <c r="F35" s="23"/>
      <c r="G35" s="24"/>
      <c r="H35"/>
    </row>
    <row r="36" spans="2:8" ht="15" outlineLevel="1" x14ac:dyDescent="0.25">
      <c r="B36" s="25" t="s">
        <v>23</v>
      </c>
      <c r="C36" s="26">
        <v>3650</v>
      </c>
      <c r="D36" s="27" t="s">
        <v>26</v>
      </c>
      <c r="E36" s="2"/>
      <c r="F36" s="23"/>
      <c r="G36" s="24"/>
    </row>
    <row r="37" spans="2:8" outlineLevel="1" x14ac:dyDescent="0.25">
      <c r="B37" s="25" t="s">
        <v>22</v>
      </c>
      <c r="C37" s="26">
        <v>20</v>
      </c>
      <c r="D37" s="27" t="s">
        <v>26</v>
      </c>
      <c r="E37" s="23"/>
      <c r="F37" s="23"/>
      <c r="G37" s="24"/>
    </row>
    <row r="38" spans="2:8" outlineLevel="1" x14ac:dyDescent="0.25">
      <c r="B38" s="25" t="s">
        <v>27</v>
      </c>
      <c r="C38" s="26">
        <v>4</v>
      </c>
      <c r="D38" s="27"/>
      <c r="E38" s="23"/>
      <c r="F38" s="23"/>
      <c r="G38" s="24"/>
    </row>
    <row r="39" spans="2:8" outlineLevel="1" x14ac:dyDescent="0.25">
      <c r="B39" s="25" t="s">
        <v>28</v>
      </c>
      <c r="C39" s="26">
        <v>10</v>
      </c>
      <c r="D39" s="27" t="s">
        <v>29</v>
      </c>
      <c r="E39" s="23"/>
      <c r="F39" s="23"/>
      <c r="G39" s="24"/>
    </row>
    <row r="40" spans="2:8" outlineLevel="1" x14ac:dyDescent="0.25">
      <c r="B40" s="22"/>
      <c r="C40" s="23"/>
      <c r="D40" s="23"/>
      <c r="E40" s="23"/>
      <c r="F40" s="23"/>
      <c r="G40" s="24"/>
    </row>
    <row r="41" spans="2:8" outlineLevel="1" x14ac:dyDescent="0.25">
      <c r="B41" s="28" t="s">
        <v>30</v>
      </c>
      <c r="C41" s="29" t="s">
        <v>31</v>
      </c>
      <c r="D41" s="29" t="s">
        <v>32</v>
      </c>
      <c r="E41" s="29" t="s">
        <v>33</v>
      </c>
      <c r="F41" s="29" t="s">
        <v>34</v>
      </c>
      <c r="G41" s="30" t="s">
        <v>35</v>
      </c>
    </row>
    <row r="42" spans="2:8" outlineLevel="1" x14ac:dyDescent="0.25">
      <c r="B42" s="31" t="s">
        <v>36</v>
      </c>
      <c r="C42" s="32"/>
      <c r="D42" s="32"/>
      <c r="E42" s="33">
        <v>4</v>
      </c>
      <c r="F42" s="34">
        <v>5000</v>
      </c>
      <c r="G42" s="35">
        <f>E42*F42</f>
        <v>20000</v>
      </c>
    </row>
    <row r="43" spans="2:8" outlineLevel="1" x14ac:dyDescent="0.25">
      <c r="B43" s="31" t="s">
        <v>37</v>
      </c>
      <c r="C43" s="32"/>
      <c r="D43" s="32"/>
      <c r="E43" s="33"/>
      <c r="F43" s="34"/>
      <c r="G43" s="35">
        <f t="shared" ref="G43:G46" si="2">E43*F43</f>
        <v>0</v>
      </c>
    </row>
    <row r="44" spans="2:8" outlineLevel="1" x14ac:dyDescent="0.25">
      <c r="B44" s="31" t="s">
        <v>38</v>
      </c>
      <c r="C44" s="32"/>
      <c r="D44" s="32"/>
      <c r="E44" s="33"/>
      <c r="F44" s="34"/>
      <c r="G44" s="35">
        <f t="shared" si="2"/>
        <v>0</v>
      </c>
    </row>
    <row r="45" spans="2:8" outlineLevel="1" x14ac:dyDescent="0.25">
      <c r="B45" s="31" t="s">
        <v>39</v>
      </c>
      <c r="C45" s="32"/>
      <c r="D45" s="32"/>
      <c r="E45" s="33">
        <v>4</v>
      </c>
      <c r="F45" s="34">
        <v>250</v>
      </c>
      <c r="G45" s="35">
        <f t="shared" si="2"/>
        <v>1000</v>
      </c>
    </row>
    <row r="46" spans="2:8" outlineLevel="1" x14ac:dyDescent="0.25">
      <c r="B46" s="31" t="s">
        <v>40</v>
      </c>
      <c r="C46" s="32"/>
      <c r="D46" s="32"/>
      <c r="E46" s="33">
        <v>1</v>
      </c>
      <c r="F46" s="34">
        <v>200</v>
      </c>
      <c r="G46" s="35">
        <f t="shared" si="2"/>
        <v>200</v>
      </c>
    </row>
    <row r="47" spans="2:8" ht="15.75" customHeight="1" outlineLevel="1" thickBot="1" x14ac:dyDescent="0.3">
      <c r="B47" s="79" t="s">
        <v>41</v>
      </c>
      <c r="C47" s="80"/>
      <c r="D47" s="80"/>
      <c r="E47" s="80"/>
      <c r="F47" s="81"/>
      <c r="G47" s="36">
        <f>SUM(G42:G46)</f>
        <v>21200</v>
      </c>
    </row>
    <row r="48" spans="2:8" x14ac:dyDescent="0.25">
      <c r="B48" s="23"/>
      <c r="C48" s="23"/>
      <c r="D48" s="23"/>
      <c r="E48" s="23"/>
      <c r="F48" s="23"/>
      <c r="G48" s="23"/>
    </row>
    <row r="49" spans="2:8" x14ac:dyDescent="0.25">
      <c r="B49" s="23"/>
      <c r="C49" s="23"/>
      <c r="D49" s="23"/>
      <c r="E49" s="23"/>
      <c r="F49" s="23"/>
      <c r="G49" s="23"/>
    </row>
    <row r="50" spans="2:8" ht="15" thickBot="1" x14ac:dyDescent="0.3">
      <c r="B50" s="19" t="s">
        <v>44</v>
      </c>
      <c r="C50" s="20"/>
      <c r="D50" s="20"/>
      <c r="E50" s="20"/>
      <c r="F50" s="20"/>
      <c r="G50" s="20"/>
      <c r="H50" s="20"/>
    </row>
    <row r="51" spans="2:8" ht="15" thickBot="1" x14ac:dyDescent="0.3"/>
    <row r="52" spans="2:8" ht="15" x14ac:dyDescent="0.25">
      <c r="B52" s="82" t="s">
        <v>45</v>
      </c>
      <c r="C52" s="83"/>
      <c r="D52" s="83"/>
      <c r="E52" s="83"/>
      <c r="F52" s="83"/>
      <c r="G52" s="84"/>
      <c r="H52"/>
    </row>
    <row r="53" spans="2:8" ht="15" x14ac:dyDescent="0.25">
      <c r="B53" s="22"/>
      <c r="C53" s="23"/>
      <c r="D53" s="23"/>
      <c r="E53" s="23"/>
      <c r="F53" s="23"/>
      <c r="G53" s="24"/>
      <c r="H53"/>
    </row>
    <row r="54" spans="2:8" ht="15" x14ac:dyDescent="0.25">
      <c r="B54" s="25" t="s">
        <v>46</v>
      </c>
      <c r="C54" s="26" t="s">
        <v>47</v>
      </c>
      <c r="D54" s="27"/>
      <c r="E54" s="23"/>
      <c r="F54" s="23"/>
      <c r="G54" s="24"/>
      <c r="H54"/>
    </row>
    <row r="55" spans="2:8" ht="15" x14ac:dyDescent="0.25">
      <c r="B55" s="25" t="s">
        <v>48</v>
      </c>
      <c r="C55" s="26" t="s">
        <v>49</v>
      </c>
      <c r="D55" s="27"/>
      <c r="E55" s="2"/>
      <c r="F55" s="23"/>
      <c r="G55" s="24"/>
    </row>
    <row r="56" spans="2:8" x14ac:dyDescent="0.25">
      <c r="B56" s="25" t="s">
        <v>50</v>
      </c>
      <c r="C56" s="26">
        <v>28</v>
      </c>
      <c r="D56" s="27" t="s">
        <v>26</v>
      </c>
      <c r="E56" s="23"/>
      <c r="F56" s="23"/>
      <c r="G56" s="24"/>
    </row>
    <row r="57" spans="2:8" x14ac:dyDescent="0.25">
      <c r="B57" s="25" t="s">
        <v>51</v>
      </c>
      <c r="C57" s="26">
        <v>0.6</v>
      </c>
      <c r="D57" s="27" t="s">
        <v>52</v>
      </c>
      <c r="E57" s="23"/>
      <c r="F57" s="23"/>
      <c r="G57" s="24"/>
    </row>
    <row r="58" spans="2:8" x14ac:dyDescent="0.25">
      <c r="B58" s="25" t="s">
        <v>53</v>
      </c>
      <c r="C58" s="26">
        <v>500</v>
      </c>
      <c r="D58" s="27" t="s">
        <v>54</v>
      </c>
      <c r="E58" s="23"/>
      <c r="F58" s="23"/>
      <c r="G58" s="24"/>
    </row>
    <row r="59" spans="2:8" x14ac:dyDescent="0.25">
      <c r="B59" s="25" t="s">
        <v>55</v>
      </c>
      <c r="C59" s="37" t="s">
        <v>56</v>
      </c>
      <c r="D59" s="27"/>
      <c r="E59" s="23"/>
      <c r="F59" s="23"/>
      <c r="G59" s="24"/>
    </row>
    <row r="60" spans="2:8" x14ac:dyDescent="0.25">
      <c r="B60" s="22"/>
      <c r="C60" s="23"/>
      <c r="D60" s="23"/>
      <c r="E60" s="23"/>
      <c r="F60" s="23"/>
      <c r="G60" s="24"/>
    </row>
    <row r="61" spans="2:8" x14ac:dyDescent="0.25">
      <c r="B61" s="28" t="s">
        <v>30</v>
      </c>
      <c r="C61" s="29" t="s">
        <v>31</v>
      </c>
      <c r="D61" s="29" t="s">
        <v>32</v>
      </c>
      <c r="E61" s="29" t="s">
        <v>33</v>
      </c>
      <c r="F61" s="29" t="s">
        <v>34</v>
      </c>
      <c r="G61" s="30" t="s">
        <v>35</v>
      </c>
    </row>
    <row r="62" spans="2:8" x14ac:dyDescent="0.25">
      <c r="B62" s="31" t="s">
        <v>57</v>
      </c>
      <c r="C62" s="32"/>
      <c r="D62" s="32"/>
      <c r="E62" s="33"/>
      <c r="F62" s="34"/>
      <c r="G62" s="35">
        <f>E62*F62</f>
        <v>0</v>
      </c>
    </row>
    <row r="63" spans="2:8" x14ac:dyDescent="0.25">
      <c r="B63" s="31" t="s">
        <v>58</v>
      </c>
      <c r="C63" s="32"/>
      <c r="D63" s="32"/>
      <c r="E63" s="33"/>
      <c r="F63" s="34"/>
      <c r="G63" s="35">
        <f t="shared" ref="G63:G66" si="3">E63*F63</f>
        <v>0</v>
      </c>
    </row>
    <row r="64" spans="2:8" x14ac:dyDescent="0.25">
      <c r="B64" s="31" t="s">
        <v>59</v>
      </c>
      <c r="C64" s="32"/>
      <c r="D64" s="32"/>
      <c r="E64" s="33"/>
      <c r="F64" s="34"/>
      <c r="G64" s="35">
        <f t="shared" si="3"/>
        <v>0</v>
      </c>
    </row>
    <row r="65" spans="2:7" x14ac:dyDescent="0.25">
      <c r="B65" s="31" t="s">
        <v>60</v>
      </c>
      <c r="C65" s="32"/>
      <c r="D65" s="32"/>
      <c r="E65" s="33"/>
      <c r="F65" s="34"/>
      <c r="G65" s="35">
        <f t="shared" si="3"/>
        <v>0</v>
      </c>
    </row>
    <row r="66" spans="2:7" x14ac:dyDescent="0.25">
      <c r="B66" s="31"/>
      <c r="C66" s="32"/>
      <c r="D66" s="32"/>
      <c r="E66" s="33"/>
      <c r="F66" s="34"/>
      <c r="G66" s="35">
        <f t="shared" si="3"/>
        <v>0</v>
      </c>
    </row>
    <row r="67" spans="2:7" ht="15" thickBot="1" x14ac:dyDescent="0.3">
      <c r="B67" s="85" t="s">
        <v>41</v>
      </c>
      <c r="C67" s="86"/>
      <c r="D67" s="86"/>
      <c r="E67" s="86"/>
      <c r="F67" s="87"/>
      <c r="G67" s="36">
        <f>SUM(G62:G66)</f>
        <v>0</v>
      </c>
    </row>
    <row r="68" spans="2:7" ht="15" thickBot="1" x14ac:dyDescent="0.3"/>
    <row r="69" spans="2:7" x14ac:dyDescent="0.25">
      <c r="B69" s="82" t="s">
        <v>61</v>
      </c>
      <c r="C69" s="83"/>
      <c r="D69" s="83"/>
      <c r="E69" s="83"/>
      <c r="F69" s="83"/>
      <c r="G69" s="84"/>
    </row>
    <row r="70" spans="2:7" x14ac:dyDescent="0.25">
      <c r="B70" s="22"/>
      <c r="C70" s="23"/>
      <c r="D70" s="23"/>
      <c r="E70" s="23"/>
      <c r="F70" s="23"/>
      <c r="G70" s="24"/>
    </row>
    <row r="71" spans="2:7" x14ac:dyDescent="0.25">
      <c r="B71" s="25" t="s">
        <v>46</v>
      </c>
      <c r="C71" s="26" t="s">
        <v>62</v>
      </c>
      <c r="D71" s="27"/>
      <c r="E71" s="23"/>
      <c r="F71" s="23"/>
      <c r="G71" s="24"/>
    </row>
    <row r="72" spans="2:7" ht="15" x14ac:dyDescent="0.25">
      <c r="B72" s="25" t="s">
        <v>48</v>
      </c>
      <c r="C72" s="26" t="s">
        <v>63</v>
      </c>
      <c r="D72" s="27"/>
      <c r="E72" s="2"/>
      <c r="F72" s="23"/>
      <c r="G72" s="24"/>
    </row>
    <row r="73" spans="2:7" x14ac:dyDescent="0.25">
      <c r="B73" s="25" t="s">
        <v>50</v>
      </c>
      <c r="C73" s="26">
        <v>40</v>
      </c>
      <c r="D73" s="27" t="s">
        <v>26</v>
      </c>
      <c r="E73" s="23"/>
      <c r="F73" s="23"/>
      <c r="G73" s="24"/>
    </row>
    <row r="74" spans="2:7" x14ac:dyDescent="0.25">
      <c r="B74" s="25" t="s">
        <v>51</v>
      </c>
      <c r="C74" s="26">
        <v>0.3</v>
      </c>
      <c r="D74" s="27" t="s">
        <v>52</v>
      </c>
      <c r="E74" s="23"/>
      <c r="F74" s="23"/>
      <c r="G74" s="24"/>
    </row>
    <row r="75" spans="2:7" x14ac:dyDescent="0.25">
      <c r="B75" s="25" t="s">
        <v>53</v>
      </c>
      <c r="C75" s="26">
        <v>300</v>
      </c>
      <c r="D75" s="27" t="s">
        <v>54</v>
      </c>
      <c r="E75" s="23"/>
      <c r="F75" s="23"/>
      <c r="G75" s="24"/>
    </row>
    <row r="76" spans="2:7" x14ac:dyDescent="0.25">
      <c r="B76" s="25" t="s">
        <v>55</v>
      </c>
      <c r="C76" s="37" t="s">
        <v>56</v>
      </c>
      <c r="D76" s="27"/>
      <c r="E76" s="23"/>
      <c r="F76" s="23"/>
      <c r="G76" s="24"/>
    </row>
    <row r="77" spans="2:7" x14ac:dyDescent="0.25">
      <c r="B77" s="22"/>
      <c r="C77" s="23"/>
      <c r="D77" s="23"/>
      <c r="E77" s="23"/>
      <c r="F77" s="23"/>
      <c r="G77" s="24"/>
    </row>
    <row r="78" spans="2:7" x14ac:dyDescent="0.25">
      <c r="B78" s="28" t="s">
        <v>30</v>
      </c>
      <c r="C78" s="29" t="s">
        <v>31</v>
      </c>
      <c r="D78" s="29" t="s">
        <v>32</v>
      </c>
      <c r="E78" s="29" t="s">
        <v>33</v>
      </c>
      <c r="F78" s="29" t="s">
        <v>34</v>
      </c>
      <c r="G78" s="30" t="s">
        <v>35</v>
      </c>
    </row>
    <row r="79" spans="2:7" x14ac:dyDescent="0.25">
      <c r="B79" s="31" t="s">
        <v>57</v>
      </c>
      <c r="C79" s="32"/>
      <c r="D79" s="32"/>
      <c r="E79" s="33"/>
      <c r="F79" s="34"/>
      <c r="G79" s="35">
        <f>E79*F79</f>
        <v>0</v>
      </c>
    </row>
    <row r="80" spans="2:7" x14ac:dyDescent="0.25">
      <c r="B80" s="31" t="s">
        <v>58</v>
      </c>
      <c r="C80" s="32"/>
      <c r="D80" s="32"/>
      <c r="E80" s="33"/>
      <c r="F80" s="34"/>
      <c r="G80" s="35">
        <f t="shared" ref="G80:G83" si="4">E80*F80</f>
        <v>0</v>
      </c>
    </row>
    <row r="81" spans="2:7" x14ac:dyDescent="0.25">
      <c r="B81" s="31" t="s">
        <v>59</v>
      </c>
      <c r="C81" s="32"/>
      <c r="D81" s="32"/>
      <c r="E81" s="33"/>
      <c r="F81" s="34"/>
      <c r="G81" s="35">
        <f t="shared" si="4"/>
        <v>0</v>
      </c>
    </row>
    <row r="82" spans="2:7" x14ac:dyDescent="0.25">
      <c r="B82" s="31" t="s">
        <v>60</v>
      </c>
      <c r="C82" s="32"/>
      <c r="D82" s="32"/>
      <c r="E82" s="33"/>
      <c r="F82" s="34"/>
      <c r="G82" s="35">
        <f t="shared" si="4"/>
        <v>0</v>
      </c>
    </row>
    <row r="83" spans="2:7" x14ac:dyDescent="0.25">
      <c r="B83" s="31"/>
      <c r="C83" s="32"/>
      <c r="D83" s="32"/>
      <c r="E83" s="33"/>
      <c r="F83" s="34"/>
      <c r="G83" s="35">
        <f t="shared" si="4"/>
        <v>0</v>
      </c>
    </row>
    <row r="84" spans="2:7" ht="15" thickBot="1" x14ac:dyDescent="0.3">
      <c r="B84" s="85" t="s">
        <v>41</v>
      </c>
      <c r="C84" s="86"/>
      <c r="D84" s="86"/>
      <c r="E84" s="86"/>
      <c r="F84" s="87"/>
      <c r="G84" s="36">
        <f>SUM(G79:G83)</f>
        <v>0</v>
      </c>
    </row>
    <row r="85" spans="2:7" ht="15" thickBot="1" x14ac:dyDescent="0.3"/>
    <row r="86" spans="2:7" x14ac:dyDescent="0.25">
      <c r="B86" s="82" t="s">
        <v>64</v>
      </c>
      <c r="C86" s="83"/>
      <c r="D86" s="83"/>
      <c r="E86" s="83"/>
      <c r="F86" s="83"/>
      <c r="G86" s="84"/>
    </row>
    <row r="87" spans="2:7" x14ac:dyDescent="0.25">
      <c r="B87" s="22"/>
      <c r="C87" s="23"/>
      <c r="D87" s="23"/>
      <c r="E87" s="23"/>
      <c r="F87" s="23"/>
      <c r="G87" s="24"/>
    </row>
    <row r="88" spans="2:7" x14ac:dyDescent="0.25">
      <c r="B88" s="25" t="s">
        <v>46</v>
      </c>
      <c r="C88" s="26" t="s">
        <v>24</v>
      </c>
      <c r="D88" s="27"/>
      <c r="E88" s="23"/>
      <c r="F88" s="23"/>
      <c r="G88" s="24"/>
    </row>
    <row r="89" spans="2:7" ht="15" x14ac:dyDescent="0.25">
      <c r="B89" s="25" t="s">
        <v>48</v>
      </c>
      <c r="C89" s="26" t="s">
        <v>65</v>
      </c>
      <c r="D89" s="27"/>
      <c r="E89" s="2"/>
      <c r="F89" s="23"/>
      <c r="G89" s="24"/>
    </row>
    <row r="90" spans="2:7" x14ac:dyDescent="0.25">
      <c r="B90" s="25" t="s">
        <v>50</v>
      </c>
      <c r="C90" s="26" t="s">
        <v>65</v>
      </c>
      <c r="D90" s="27" t="s">
        <v>26</v>
      </c>
      <c r="E90" s="23"/>
      <c r="F90" s="23"/>
      <c r="G90" s="24"/>
    </row>
    <row r="91" spans="2:7" x14ac:dyDescent="0.25">
      <c r="B91" s="25" t="s">
        <v>51</v>
      </c>
      <c r="C91" s="26" t="s">
        <v>65</v>
      </c>
      <c r="D91" s="27" t="s">
        <v>52</v>
      </c>
      <c r="E91" s="23"/>
      <c r="F91" s="23"/>
      <c r="G91" s="24"/>
    </row>
    <row r="92" spans="2:7" x14ac:dyDescent="0.25">
      <c r="B92" s="25" t="s">
        <v>53</v>
      </c>
      <c r="C92" s="26">
        <v>1000</v>
      </c>
      <c r="D92" s="27" t="s">
        <v>54</v>
      </c>
      <c r="E92" s="23"/>
      <c r="F92" s="23"/>
      <c r="G92" s="24"/>
    </row>
    <row r="93" spans="2:7" x14ac:dyDescent="0.25">
      <c r="B93" s="25" t="s">
        <v>55</v>
      </c>
      <c r="C93" s="37" t="s">
        <v>56</v>
      </c>
      <c r="D93" s="27"/>
      <c r="E93" s="23"/>
      <c r="F93" s="23"/>
      <c r="G93" s="24"/>
    </row>
    <row r="94" spans="2:7" x14ac:dyDescent="0.25">
      <c r="B94" s="22"/>
      <c r="C94" s="23"/>
      <c r="D94" s="23"/>
      <c r="E94" s="23"/>
      <c r="F94" s="23"/>
      <c r="G94" s="24"/>
    </row>
    <row r="95" spans="2:7" x14ac:dyDescent="0.25">
      <c r="B95" s="28" t="s">
        <v>30</v>
      </c>
      <c r="C95" s="29" t="s">
        <v>31</v>
      </c>
      <c r="D95" s="29" t="s">
        <v>32</v>
      </c>
      <c r="E95" s="29" t="s">
        <v>33</v>
      </c>
      <c r="F95" s="29" t="s">
        <v>34</v>
      </c>
      <c r="G95" s="30" t="s">
        <v>35</v>
      </c>
    </row>
    <row r="96" spans="2:7" x14ac:dyDescent="0.25">
      <c r="B96" s="31" t="s">
        <v>66</v>
      </c>
      <c r="C96" s="32"/>
      <c r="D96" s="32"/>
      <c r="E96" s="33"/>
      <c r="F96" s="34"/>
      <c r="G96" s="35">
        <f>E96*F96</f>
        <v>0</v>
      </c>
    </row>
    <row r="97" spans="2:7" x14ac:dyDescent="0.25">
      <c r="B97" s="31" t="s">
        <v>67</v>
      </c>
      <c r="C97" s="32"/>
      <c r="D97" s="32"/>
      <c r="E97" s="33"/>
      <c r="F97" s="34"/>
      <c r="G97" s="35">
        <f t="shared" ref="G97:G100" si="5">E97*F97</f>
        <v>0</v>
      </c>
    </row>
    <row r="98" spans="2:7" x14ac:dyDescent="0.25">
      <c r="B98" s="31"/>
      <c r="C98" s="32"/>
      <c r="D98" s="32"/>
      <c r="E98" s="33"/>
      <c r="F98" s="34"/>
      <c r="G98" s="35">
        <f t="shared" si="5"/>
        <v>0</v>
      </c>
    </row>
    <row r="99" spans="2:7" x14ac:dyDescent="0.25">
      <c r="B99" s="31"/>
      <c r="C99" s="32"/>
      <c r="D99" s="32"/>
      <c r="E99" s="33"/>
      <c r="F99" s="34"/>
      <c r="G99" s="35">
        <f t="shared" si="5"/>
        <v>0</v>
      </c>
    </row>
    <row r="100" spans="2:7" x14ac:dyDescent="0.25">
      <c r="B100" s="31"/>
      <c r="C100" s="32"/>
      <c r="D100" s="32"/>
      <c r="E100" s="33"/>
      <c r="F100" s="34"/>
      <c r="G100" s="35">
        <f t="shared" si="5"/>
        <v>0</v>
      </c>
    </row>
    <row r="101" spans="2:7" ht="15" thickBot="1" x14ac:dyDescent="0.3">
      <c r="B101" s="85" t="s">
        <v>41</v>
      </c>
      <c r="C101" s="86"/>
      <c r="D101" s="86"/>
      <c r="E101" s="86"/>
      <c r="F101" s="87"/>
      <c r="G101" s="36">
        <f>SUM(G96:G100)</f>
        <v>0</v>
      </c>
    </row>
    <row r="102" spans="2:7" ht="15" thickBot="1" x14ac:dyDescent="0.3"/>
    <row r="103" spans="2:7" x14ac:dyDescent="0.25">
      <c r="B103" s="82" t="s">
        <v>68</v>
      </c>
      <c r="C103" s="83"/>
      <c r="D103" s="83"/>
      <c r="E103" s="83"/>
      <c r="F103" s="83"/>
      <c r="G103" s="84"/>
    </row>
    <row r="104" spans="2:7" x14ac:dyDescent="0.25">
      <c r="B104" s="22"/>
      <c r="C104" s="23"/>
      <c r="D104" s="23"/>
      <c r="E104" s="23"/>
      <c r="F104" s="23"/>
      <c r="G104" s="24"/>
    </row>
    <row r="105" spans="2:7" x14ac:dyDescent="0.25">
      <c r="B105" s="25" t="s">
        <v>46</v>
      </c>
      <c r="C105" s="26" t="s">
        <v>69</v>
      </c>
      <c r="D105" s="27"/>
      <c r="E105" s="23"/>
      <c r="F105" s="23"/>
      <c r="G105" s="24"/>
    </row>
    <row r="106" spans="2:7" ht="15" x14ac:dyDescent="0.25">
      <c r="B106" s="25" t="s">
        <v>48</v>
      </c>
      <c r="C106" s="26" t="s">
        <v>70</v>
      </c>
      <c r="D106" s="27"/>
      <c r="E106" s="2"/>
      <c r="F106" s="23"/>
      <c r="G106" s="24"/>
    </row>
    <row r="107" spans="2:7" x14ac:dyDescent="0.25">
      <c r="B107" s="25" t="s">
        <v>50</v>
      </c>
      <c r="C107" s="26" t="s">
        <v>65</v>
      </c>
      <c r="D107" s="27" t="s">
        <v>26</v>
      </c>
      <c r="E107" s="23"/>
      <c r="F107" s="23"/>
      <c r="G107" s="24"/>
    </row>
    <row r="108" spans="2:7" x14ac:dyDescent="0.25">
      <c r="B108" s="25" t="s">
        <v>51</v>
      </c>
      <c r="C108" s="26">
        <v>1.2</v>
      </c>
      <c r="D108" s="27" t="s">
        <v>52</v>
      </c>
      <c r="E108" s="23"/>
      <c r="F108" s="23"/>
      <c r="G108" s="24"/>
    </row>
    <row r="109" spans="2:7" x14ac:dyDescent="0.25">
      <c r="B109" s="25" t="s">
        <v>53</v>
      </c>
      <c r="C109" s="26" t="s">
        <v>65</v>
      </c>
      <c r="D109" s="27" t="s">
        <v>54</v>
      </c>
      <c r="E109" s="23"/>
      <c r="F109" s="23"/>
      <c r="G109" s="24"/>
    </row>
    <row r="110" spans="2:7" x14ac:dyDescent="0.25">
      <c r="B110" s="25" t="s">
        <v>55</v>
      </c>
      <c r="C110" s="37" t="s">
        <v>65</v>
      </c>
      <c r="D110" s="27"/>
      <c r="E110" s="23"/>
      <c r="F110" s="23"/>
      <c r="G110" s="24"/>
    </row>
    <row r="111" spans="2:7" x14ac:dyDescent="0.25">
      <c r="B111" s="22"/>
      <c r="C111" s="23"/>
      <c r="D111" s="23"/>
      <c r="E111" s="23"/>
      <c r="F111" s="23"/>
      <c r="G111" s="24"/>
    </row>
    <row r="112" spans="2:7" x14ac:dyDescent="0.25">
      <c r="B112" s="28" t="s">
        <v>30</v>
      </c>
      <c r="C112" s="29" t="s">
        <v>31</v>
      </c>
      <c r="D112" s="29" t="s">
        <v>32</v>
      </c>
      <c r="E112" s="29" t="s">
        <v>33</v>
      </c>
      <c r="F112" s="29" t="s">
        <v>34</v>
      </c>
      <c r="G112" s="30" t="s">
        <v>35</v>
      </c>
    </row>
    <row r="113" spans="2:7" x14ac:dyDescent="0.25">
      <c r="B113" s="31" t="s">
        <v>71</v>
      </c>
      <c r="C113" s="32"/>
      <c r="D113" s="32"/>
      <c r="E113" s="33"/>
      <c r="F113" s="34"/>
      <c r="G113" s="35">
        <f>E113*F113</f>
        <v>0</v>
      </c>
    </row>
    <row r="114" spans="2:7" x14ac:dyDescent="0.25">
      <c r="B114" s="31" t="s">
        <v>72</v>
      </c>
      <c r="C114" s="32"/>
      <c r="D114" s="32"/>
      <c r="E114" s="33"/>
      <c r="F114" s="34"/>
      <c r="G114" s="35">
        <f t="shared" ref="G114:G117" si="6">E114*F114</f>
        <v>0</v>
      </c>
    </row>
    <row r="115" spans="2:7" x14ac:dyDescent="0.25">
      <c r="B115" s="31"/>
      <c r="C115" s="32"/>
      <c r="D115" s="32"/>
      <c r="E115" s="33"/>
      <c r="F115" s="34"/>
      <c r="G115" s="35">
        <f t="shared" si="6"/>
        <v>0</v>
      </c>
    </row>
    <row r="116" spans="2:7" x14ac:dyDescent="0.25">
      <c r="B116" s="31"/>
      <c r="C116" s="32"/>
      <c r="D116" s="32"/>
      <c r="E116" s="33"/>
      <c r="F116" s="34"/>
      <c r="G116" s="35">
        <f t="shared" si="6"/>
        <v>0</v>
      </c>
    </row>
    <row r="117" spans="2:7" x14ac:dyDescent="0.25">
      <c r="B117" s="31"/>
      <c r="C117" s="32"/>
      <c r="D117" s="32"/>
      <c r="E117" s="33"/>
      <c r="F117" s="34"/>
      <c r="G117" s="35">
        <f t="shared" si="6"/>
        <v>0</v>
      </c>
    </row>
    <row r="118" spans="2:7" ht="15" thickBot="1" x14ac:dyDescent="0.3">
      <c r="B118" s="85" t="s">
        <v>41</v>
      </c>
      <c r="C118" s="86"/>
      <c r="D118" s="86"/>
      <c r="E118" s="86"/>
      <c r="F118" s="87"/>
      <c r="G118" s="36">
        <f>SUM(G113:G117)</f>
        <v>0</v>
      </c>
    </row>
  </sheetData>
  <mergeCells count="14">
    <mergeCell ref="B103:G103"/>
    <mergeCell ref="B118:F118"/>
    <mergeCell ref="B52:G52"/>
    <mergeCell ref="B67:F67"/>
    <mergeCell ref="B69:G69"/>
    <mergeCell ref="B84:F84"/>
    <mergeCell ref="B86:G86"/>
    <mergeCell ref="B101:F101"/>
    <mergeCell ref="B47:F47"/>
    <mergeCell ref="B4:G4"/>
    <mergeCell ref="B17:F17"/>
    <mergeCell ref="B19:G19"/>
    <mergeCell ref="B32:F32"/>
    <mergeCell ref="B34:G34"/>
  </mergeCells>
  <dataValidations count="1">
    <dataValidation type="list" allowBlank="1" showInputMessage="1" showErrorMessage="1" sqref="C54 C71 C88 C105">
      <formula1>"P2P MW Licensed, P2P MW Unlicensed, Fiber, VSAT"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5</vt:i4>
      </vt:variant>
    </vt:vector>
  </HeadingPairs>
  <TitlesOfParts>
    <vt:vector size="14" baseType="lpstr">
      <vt:lpstr>Cover</vt:lpstr>
      <vt:lpstr>Instructions</vt:lpstr>
      <vt:lpstr>Revision Control</vt:lpstr>
      <vt:lpstr>Dashboard</vt:lpstr>
      <vt:lpstr>Polygons</vt:lpstr>
      <vt:lpstr>Existing Assets</vt:lpstr>
      <vt:lpstr>HLD</vt:lpstr>
      <vt:lpstr>HLD Dictionary</vt:lpstr>
      <vt:lpstr>Site Configurations</vt:lpstr>
      <vt:lpstr>Downlink_Rate</vt:lpstr>
      <vt:lpstr>Overbooking_Factor</vt:lpstr>
      <vt:lpstr>Overprovisioning_Factor</vt:lpstr>
      <vt:lpstr>Service_Penetration</vt:lpstr>
      <vt:lpstr>Uplink_Rate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TeleworX</dc:creator>
  <cp:lastModifiedBy>TeleworX</cp:lastModifiedBy>
  <dcterms:created xsi:type="dcterms:W3CDTF">2020-02-24T17:00:18Z</dcterms:created>
  <dcterms:modified xsi:type="dcterms:W3CDTF">2020-12-15T20:34:53Z</dcterms:modified>
</cp:coreProperties>
</file>